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User\Dropbox\Wurstsammlung\WÜP\"/>
    </mc:Choice>
  </mc:AlternateContent>
  <xr:revisionPtr revIDLastSave="0" documentId="13_ncr:1_{3CD423D5-3E4A-4F72-A5ED-461B4A745615}" xr6:coauthVersionLast="45" xr6:coauthVersionMax="45" xr10:uidLastSave="{00000000-0000-0000-0000-000000000000}"/>
  <bookViews>
    <workbookView xWindow="-120" yWindow="-120" windowWidth="20730" windowHeight="11160" firstSheet="2" activeTab="5" xr2:uid="{25144593-68C2-4423-A2F0-C4B00F5D9DB0}"/>
  </bookViews>
  <sheets>
    <sheet name="Messwerte" sheetId="1" r:id="rId1"/>
    <sheet name="Konstanten" sheetId="2" r:id="rId2"/>
    <sheet name="Gegenstrom Reihe" sheetId="3" r:id="rId3"/>
    <sheet name="GegenstromReihe neu" sheetId="5" r:id="rId4"/>
    <sheet name="Gegenstrom Parallel" sheetId="4" r:id="rId5"/>
    <sheet name="Gegenstrom Parallel neu" sheetId="6" r:id="rId6"/>
    <sheet name="Volumenfehlerbetrachtung" sheetId="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8" i="6" l="1"/>
  <c r="E27" i="6"/>
  <c r="D28" i="6"/>
  <c r="D27" i="6"/>
  <c r="C27" i="6"/>
  <c r="C28" i="6"/>
  <c r="B28" i="6"/>
  <c r="B27" i="6"/>
  <c r="C31" i="5"/>
  <c r="C32" i="5"/>
  <c r="C33" i="5"/>
  <c r="C34" i="5"/>
  <c r="B34" i="5"/>
  <c r="B33" i="5"/>
  <c r="B32" i="5"/>
  <c r="B31" i="5"/>
  <c r="A32" i="5"/>
  <c r="A33" i="5" s="1"/>
  <c r="C32" i="4"/>
  <c r="B32" i="4"/>
  <c r="E36" i="3"/>
  <c r="E2" i="7" l="1"/>
  <c r="E3" i="7"/>
  <c r="D3" i="7" s="1"/>
  <c r="E4" i="7"/>
  <c r="D4" i="7" s="1"/>
  <c r="C4" i="7"/>
  <c r="F4" i="7" s="1"/>
  <c r="J23" i="6"/>
  <c r="H23" i="6"/>
  <c r="B16" i="6"/>
  <c r="L8" i="4"/>
  <c r="L7" i="4"/>
  <c r="E23" i="6"/>
  <c r="E24" i="6"/>
  <c r="E22" i="6"/>
  <c r="E21" i="6"/>
  <c r="C22" i="6"/>
  <c r="C23" i="6"/>
  <c r="C24" i="6"/>
  <c r="C21" i="6"/>
  <c r="D21" i="6" s="1"/>
  <c r="B24" i="6"/>
  <c r="B23" i="6"/>
  <c r="B22" i="6"/>
  <c r="B21" i="6"/>
  <c r="E17" i="6"/>
  <c r="E16" i="6"/>
  <c r="D17" i="6"/>
  <c r="D16" i="6"/>
  <c r="C17" i="6"/>
  <c r="C16" i="6"/>
  <c r="B17" i="6"/>
  <c r="E14" i="5"/>
  <c r="E13" i="5"/>
  <c r="D13" i="6"/>
  <c r="E13" i="6" s="1"/>
  <c r="D12" i="6"/>
  <c r="C12" i="6"/>
  <c r="C13" i="6"/>
  <c r="B12" i="6"/>
  <c r="E12" i="6" s="1"/>
  <c r="B13" i="6"/>
  <c r="D24" i="6"/>
  <c r="D22" i="6"/>
  <c r="F16" i="6"/>
  <c r="J27" i="5"/>
  <c r="J25" i="5"/>
  <c r="I17" i="3"/>
  <c r="H26" i="5"/>
  <c r="H27" i="5"/>
  <c r="H28" i="5"/>
  <c r="H25" i="5"/>
  <c r="J8" i="3"/>
  <c r="J7" i="3"/>
  <c r="I7" i="3"/>
  <c r="H8" i="3"/>
  <c r="H7" i="3"/>
  <c r="G8" i="3"/>
  <c r="G7" i="3"/>
  <c r="C24" i="5"/>
  <c r="D24" i="5" s="1"/>
  <c r="E24" i="5" s="1"/>
  <c r="C25" i="5"/>
  <c r="C26" i="5"/>
  <c r="C27" i="5"/>
  <c r="C28" i="5"/>
  <c r="M8" i="3"/>
  <c r="N8" i="3"/>
  <c r="N7" i="3"/>
  <c r="E27" i="5"/>
  <c r="E23" i="5"/>
  <c r="D25" i="5"/>
  <c r="D26" i="5"/>
  <c r="D27" i="5"/>
  <c r="D28" i="5"/>
  <c r="E28" i="5" s="1"/>
  <c r="D23" i="5"/>
  <c r="C23" i="5"/>
  <c r="B28" i="5"/>
  <c r="B27" i="5"/>
  <c r="B26" i="5"/>
  <c r="B25" i="5"/>
  <c r="B24" i="5"/>
  <c r="B23" i="5"/>
  <c r="E7" i="3"/>
  <c r="F19" i="5"/>
  <c r="F17" i="5"/>
  <c r="E19" i="5"/>
  <c r="E17" i="5"/>
  <c r="D19" i="5"/>
  <c r="D18" i="5"/>
  <c r="C3" i="7" s="1"/>
  <c r="F3" i="7" s="1"/>
  <c r="D17" i="5"/>
  <c r="C19" i="5"/>
  <c r="C18" i="5"/>
  <c r="C17" i="5"/>
  <c r="B19" i="5"/>
  <c r="B18" i="5"/>
  <c r="B17" i="5"/>
  <c r="B32" i="3"/>
  <c r="C14" i="5"/>
  <c r="C13" i="5"/>
  <c r="B14" i="5"/>
  <c r="B13" i="5"/>
  <c r="D4" i="2"/>
  <c r="D14" i="5"/>
  <c r="D13" i="5"/>
  <c r="K8" i="4"/>
  <c r="K7" i="4"/>
  <c r="H8" i="4"/>
  <c r="H7" i="4"/>
  <c r="J8" i="4"/>
  <c r="J7" i="4"/>
  <c r="F8" i="4"/>
  <c r="F7" i="4"/>
  <c r="I24" i="6" a="1"/>
  <c r="I23" i="6" a="1"/>
  <c r="G24" i="6" a="1"/>
  <c r="G23" i="6" a="1"/>
  <c r="G22" i="6" a="1"/>
  <c r="G21" i="6" a="1"/>
  <c r="F23" i="6" a="1"/>
  <c r="F24" i="6" a="1"/>
  <c r="F22" i="6" a="1"/>
  <c r="F21" i="6" a="1"/>
  <c r="D2" i="6" a="1"/>
  <c r="D8" i="6" a="1"/>
  <c r="D6" i="6" a="1"/>
  <c r="D4" i="6" a="1"/>
  <c r="D9" i="6" a="1"/>
  <c r="D7" i="6" a="1"/>
  <c r="D5" i="6" a="1"/>
  <c r="D3" i="6" a="1"/>
  <c r="I28" i="5" a="1"/>
  <c r="I26" i="5" a="1"/>
  <c r="I27" i="5" a="1"/>
  <c r="I25" i="5" a="1"/>
  <c r="G28" i="5" a="1"/>
  <c r="G27" i="5" a="1"/>
  <c r="G26" i="5" a="1"/>
  <c r="G25" i="5" a="1"/>
  <c r="F28" i="5" a="1"/>
  <c r="F27" i="5" a="1"/>
  <c r="F26" i="5" a="1"/>
  <c r="E24" i="3" a="1"/>
  <c r="F25" i="5" a="1"/>
  <c r="D4" i="5" a="1"/>
  <c r="D8" i="5" a="1"/>
  <c r="D7" i="5" a="1"/>
  <c r="D5" i="5" a="1"/>
  <c r="D9" i="5" a="1"/>
  <c r="D6" i="5" a="1"/>
  <c r="D10" i="5" a="1"/>
  <c r="D3" i="5" a="1"/>
  <c r="I24" i="6" l="1"/>
  <c r="I23" i="6"/>
  <c r="G24" i="6"/>
  <c r="G23" i="6"/>
  <c r="G22" i="6"/>
  <c r="H22" i="6" s="1"/>
  <c r="G21" i="6"/>
  <c r="F23" i="6"/>
  <c r="F24" i="6"/>
  <c r="F22" i="6"/>
  <c r="F21" i="6"/>
  <c r="H21" i="6" s="1"/>
  <c r="D23" i="6"/>
  <c r="D2" i="6"/>
  <c r="D3" i="6"/>
  <c r="D5" i="6"/>
  <c r="D7" i="6"/>
  <c r="D9" i="6"/>
  <c r="D4" i="6"/>
  <c r="D6" i="6"/>
  <c r="D8" i="6"/>
  <c r="F17" i="6"/>
  <c r="I28" i="5"/>
  <c r="I26" i="5"/>
  <c r="I27" i="5"/>
  <c r="I25" i="5"/>
  <c r="G28" i="5"/>
  <c r="G27" i="5"/>
  <c r="G26" i="5"/>
  <c r="G25" i="5"/>
  <c r="F28" i="5"/>
  <c r="F27" i="5"/>
  <c r="F26" i="5"/>
  <c r="E24" i="3"/>
  <c r="F25" i="5"/>
  <c r="D10" i="5"/>
  <c r="D6" i="5"/>
  <c r="D9" i="5"/>
  <c r="D5" i="5"/>
  <c r="D7" i="5"/>
  <c r="D8" i="5"/>
  <c r="D4" i="5"/>
  <c r="D3" i="5"/>
  <c r="I22" i="6" a="1"/>
  <c r="I21" i="6" a="1"/>
  <c r="I22" i="6" l="1"/>
  <c r="I21" i="6"/>
  <c r="H24" i="6"/>
  <c r="J21" i="6" l="1"/>
  <c r="I7" i="4" l="1"/>
  <c r="M7" i="3"/>
  <c r="L7" i="3"/>
  <c r="L8" i="3"/>
  <c r="I8" i="3"/>
  <c r="E8" i="3"/>
  <c r="D3" i="4" l="1"/>
  <c r="G18" i="3"/>
  <c r="G19" i="3"/>
  <c r="G20" i="3"/>
  <c r="F5" i="2"/>
  <c r="F4" i="2"/>
  <c r="F3" i="3"/>
  <c r="F4" i="3"/>
  <c r="D5" i="2"/>
  <c r="G32" i="3"/>
  <c r="G36" i="3"/>
  <c r="E32" i="3"/>
  <c r="C32" i="3"/>
  <c r="C36" i="3"/>
  <c r="F36" i="3"/>
  <c r="F32" i="3"/>
  <c r="D36" i="3"/>
  <c r="D32" i="3"/>
  <c r="B36" i="3"/>
  <c r="D4" i="4"/>
  <c r="F4" i="4" s="1"/>
  <c r="D3" i="3"/>
  <c r="D4" i="3"/>
  <c r="D13" i="4"/>
  <c r="D11" i="4"/>
  <c r="D9" i="4"/>
  <c r="D7" i="4"/>
  <c r="C28" i="3"/>
  <c r="H20" i="3" a="1"/>
  <c r="H18" i="3" a="1"/>
  <c r="H19" i="3" a="1"/>
  <c r="F17" i="3" a="1"/>
  <c r="F24" i="3" a="1"/>
  <c r="F18" i="3" a="1"/>
  <c r="F20" i="3" a="1"/>
  <c r="F22" i="3" a="1"/>
  <c r="F21" i="3" a="1"/>
  <c r="F19" i="3" a="1"/>
  <c r="F23" i="3" a="1"/>
  <c r="E18" i="3" a="1"/>
  <c r="E20" i="3" a="1"/>
  <c r="E19" i="3" a="1"/>
  <c r="E17" i="3" a="1"/>
  <c r="D17" i="3" a="1"/>
  <c r="D19" i="3" a="1"/>
  <c r="D21" i="3" a="1"/>
  <c r="D23" i="3" a="1"/>
  <c r="D20" i="3" a="1"/>
  <c r="D22" i="3" a="1"/>
  <c r="D18" i="3" a="1"/>
  <c r="D24" i="3" a="1"/>
  <c r="E21" i="3" a="1"/>
  <c r="F22" i="4" a="1"/>
  <c r="F19" i="4" a="1"/>
  <c r="D21" i="4" a="1"/>
  <c r="D20" i="4" a="1"/>
  <c r="F24" i="4" a="1"/>
  <c r="F17" i="4" a="1"/>
  <c r="D24" i="4" a="1"/>
  <c r="D19" i="4" a="1"/>
  <c r="F18" i="4" a="1"/>
  <c r="F21" i="4" a="1"/>
  <c r="D18" i="4" a="1"/>
  <c r="D23" i="4" a="1"/>
  <c r="F20" i="4" a="1"/>
  <c r="F23" i="4" a="1"/>
  <c r="D17" i="4" a="1"/>
  <c r="D22" i="4" a="1"/>
  <c r="K7" i="3" l="1"/>
  <c r="E18" i="5"/>
  <c r="K8" i="3"/>
  <c r="F3" i="4"/>
  <c r="F19" i="4"/>
  <c r="F23" i="4"/>
  <c r="F21" i="4"/>
  <c r="F24" i="4"/>
  <c r="F22" i="4"/>
  <c r="F20" i="4"/>
  <c r="F18" i="4"/>
  <c r="F17" i="4"/>
  <c r="H20" i="3"/>
  <c r="H19" i="3"/>
  <c r="H18" i="3"/>
  <c r="F17" i="3"/>
  <c r="G17" i="3" s="1"/>
  <c r="F24" i="3"/>
  <c r="F23" i="3"/>
  <c r="F19" i="3"/>
  <c r="F21" i="3"/>
  <c r="F22" i="3"/>
  <c r="F20" i="3"/>
  <c r="F18" i="3"/>
  <c r="E21" i="3"/>
  <c r="G21" i="3" s="1"/>
  <c r="E19" i="3"/>
  <c r="E20" i="3"/>
  <c r="E18" i="3"/>
  <c r="E17" i="3"/>
  <c r="D24" i="4"/>
  <c r="E32" i="4" s="1"/>
  <c r="D18" i="4"/>
  <c r="C28" i="4" s="1"/>
  <c r="D17" i="4"/>
  <c r="E28" i="4" s="1"/>
  <c r="D20" i="4"/>
  <c r="D28" i="4" s="1"/>
  <c r="D22" i="4"/>
  <c r="D23" i="4"/>
  <c r="D19" i="4"/>
  <c r="D21" i="4"/>
  <c r="D18" i="3"/>
  <c r="D22" i="3"/>
  <c r="D20" i="3"/>
  <c r="D23" i="3"/>
  <c r="D21" i="3"/>
  <c r="D19" i="3"/>
  <c r="D17" i="3"/>
  <c r="D24" i="3"/>
  <c r="H17" i="3" a="1"/>
  <c r="E22" i="3" a="1"/>
  <c r="E23" i="3" a="1"/>
  <c r="H21" i="3" a="1"/>
  <c r="E20" i="4" a="1"/>
  <c r="E19" i="4" a="1"/>
  <c r="E17" i="4" a="1"/>
  <c r="E18" i="4" a="1"/>
  <c r="E25" i="5" l="1"/>
  <c r="F18" i="5"/>
  <c r="E26" i="5"/>
  <c r="H21" i="3"/>
  <c r="E23" i="3"/>
  <c r="G23" i="3" s="1"/>
  <c r="E22" i="3"/>
  <c r="G22" i="3" s="1"/>
  <c r="G24" i="3"/>
  <c r="E18" i="4"/>
  <c r="G18" i="4" s="1"/>
  <c r="E17" i="4"/>
  <c r="G17" i="4" s="1"/>
  <c r="E19" i="4"/>
  <c r="G19" i="4" s="1"/>
  <c r="E20" i="4"/>
  <c r="E37" i="4"/>
  <c r="C37" i="4"/>
  <c r="I8" i="4"/>
  <c r="B28" i="4"/>
  <c r="D32" i="4"/>
  <c r="G20" i="4"/>
  <c r="H17" i="3"/>
  <c r="H23" i="3" a="1"/>
  <c r="H22" i="3" a="1"/>
  <c r="H24" i="3" a="1"/>
  <c r="H18" i="4" a="1"/>
  <c r="H17" i="4" a="1"/>
  <c r="E23" i="4" a="1"/>
  <c r="H19" i="4" a="1"/>
  <c r="E21" i="4" a="1"/>
  <c r="E22" i="4" a="1"/>
  <c r="E24" i="4" a="1"/>
  <c r="H20" i="4" a="1"/>
  <c r="H24" i="3" l="1"/>
  <c r="H22" i="3"/>
  <c r="H23" i="3"/>
  <c r="I21" i="3" s="1"/>
  <c r="E24" i="4"/>
  <c r="G24" i="4" s="1"/>
  <c r="E22" i="4"/>
  <c r="G22" i="4" s="1"/>
  <c r="E21" i="4"/>
  <c r="G21" i="4" s="1"/>
  <c r="H19" i="4"/>
  <c r="E23" i="4"/>
  <c r="G23" i="4" s="1"/>
  <c r="H17" i="4"/>
  <c r="H18" i="4"/>
  <c r="H20" i="4"/>
  <c r="E41" i="3"/>
  <c r="H24" i="4" a="1"/>
  <c r="H22" i="4" a="1"/>
  <c r="H21" i="4" a="1"/>
  <c r="H23" i="4" a="1"/>
  <c r="H23" i="4" l="1"/>
  <c r="I17" i="4" s="1"/>
  <c r="H21" i="4"/>
  <c r="H22" i="4"/>
  <c r="H24" i="4"/>
  <c r="I21" i="4" s="1"/>
  <c r="G41" i="3"/>
  <c r="C41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<sst xmlns="http://schemas.openxmlformats.org/spreadsheetml/2006/main" count="437" uniqueCount="156">
  <si>
    <t>Gegenstrom Reihe</t>
  </si>
  <si>
    <t>Gleichstrom Reihe</t>
  </si>
  <si>
    <t>Parallel Gegenstrom</t>
  </si>
  <si>
    <t>Parallel Gleichstrom</t>
  </si>
  <si>
    <t>Volumenstrom kalt</t>
  </si>
  <si>
    <t>l/min</t>
  </si>
  <si>
    <t>Volumenstrom warm</t>
  </si>
  <si>
    <t>l/h</t>
  </si>
  <si>
    <t>Volumenstrom Warm</t>
  </si>
  <si>
    <t>Druck  [bar]</t>
  </si>
  <si>
    <t>Druck [bar]</t>
  </si>
  <si>
    <t xml:space="preserve">Pw zw 1 </t>
  </si>
  <si>
    <t>kp/cm²</t>
  </si>
  <si>
    <t>Pw zw 1</t>
  </si>
  <si>
    <t>bar</t>
  </si>
  <si>
    <t>Pw α u</t>
  </si>
  <si>
    <t xml:space="preserve">Pw α </t>
  </si>
  <si>
    <t>Pw α</t>
  </si>
  <si>
    <t>Pw ω u</t>
  </si>
  <si>
    <t>Pw ω</t>
  </si>
  <si>
    <t>Pw ω o</t>
  </si>
  <si>
    <t>Pw zw 2</t>
  </si>
  <si>
    <t>Pw α o</t>
  </si>
  <si>
    <t>Pk zw1</t>
  </si>
  <si>
    <t>Pk ω o</t>
  </si>
  <si>
    <t>Pkω</t>
  </si>
  <si>
    <t>Pk ω</t>
  </si>
  <si>
    <t>Pk ω u</t>
  </si>
  <si>
    <t>Pk zw 2</t>
  </si>
  <si>
    <t>Pk zw2</t>
  </si>
  <si>
    <t>Pk α o</t>
  </si>
  <si>
    <t>Pk α</t>
  </si>
  <si>
    <t>Pk α u</t>
  </si>
  <si>
    <t>Temperaturen [°C]</t>
  </si>
  <si>
    <t>Tw zw 1</t>
  </si>
  <si>
    <t>°C</t>
  </si>
  <si>
    <t>Tw α u</t>
  </si>
  <si>
    <t xml:space="preserve">Tw α </t>
  </si>
  <si>
    <t>Tw α o</t>
  </si>
  <si>
    <t>Tw zw 2</t>
  </si>
  <si>
    <t>Tw ω o</t>
  </si>
  <si>
    <t>Tw ω</t>
  </si>
  <si>
    <t>Tw ω u</t>
  </si>
  <si>
    <t>Tk zw 1</t>
  </si>
  <si>
    <t>Tk ω u</t>
  </si>
  <si>
    <t>Tk ω</t>
  </si>
  <si>
    <t>Tk ω o</t>
  </si>
  <si>
    <t>Tk zw 2</t>
  </si>
  <si>
    <t>Tk α o</t>
  </si>
  <si>
    <t xml:space="preserve">Tk α </t>
  </si>
  <si>
    <t>Tk α u</t>
  </si>
  <si>
    <t>Wärmeleitfähigkeit Stahl</t>
  </si>
  <si>
    <t>Wärmekapazität H2O</t>
  </si>
  <si>
    <t>kJ/(kg*K)</t>
  </si>
  <si>
    <t>W/(m*K)</t>
  </si>
  <si>
    <t>mm</t>
  </si>
  <si>
    <t>Durchmesser Innenrohr außen</t>
  </si>
  <si>
    <t>Gesamtlänge des Doppelmantels</t>
  </si>
  <si>
    <t>m</t>
  </si>
  <si>
    <t>1 kp/cm^2</t>
  </si>
  <si>
    <t>=</t>
  </si>
  <si>
    <t>m^3/s</t>
  </si>
  <si>
    <t>Dichte kg/m^3</t>
  </si>
  <si>
    <t>Qab ges kW</t>
  </si>
  <si>
    <t>Qauf ges kW</t>
  </si>
  <si>
    <t>Qauf korr ges</t>
  </si>
  <si>
    <t>Qab korr ges</t>
  </si>
  <si>
    <t>Volmenkorektur</t>
  </si>
  <si>
    <t>Diff</t>
  </si>
  <si>
    <t xml:space="preserve"> </t>
  </si>
  <si>
    <t>Qab WÜ1</t>
  </si>
  <si>
    <t>Qauf WÜ1</t>
  </si>
  <si>
    <t>Qab WÜ2</t>
  </si>
  <si>
    <t>Qab WÜ1 korr</t>
  </si>
  <si>
    <t>Qauf WÜ2</t>
  </si>
  <si>
    <t>Qab WÜ2 korr</t>
  </si>
  <si>
    <t>w u</t>
  </si>
  <si>
    <t>w o</t>
  </si>
  <si>
    <t>k o</t>
  </si>
  <si>
    <t>k u</t>
  </si>
  <si>
    <t>w</t>
  </si>
  <si>
    <t>k</t>
  </si>
  <si>
    <t>dP bar</t>
  </si>
  <si>
    <t>dp</t>
  </si>
  <si>
    <t>Verhältnis WÜ1</t>
  </si>
  <si>
    <t>Verhältnis WÜ2</t>
  </si>
  <si>
    <t>Verhältnis Ges</t>
  </si>
  <si>
    <t>Leistung Pumpe kW</t>
  </si>
  <si>
    <t>Reynolds</t>
  </si>
  <si>
    <t>Durchmesser Innenrohr innen warm</t>
  </si>
  <si>
    <t>Durchmesser Mantel innen kalt</t>
  </si>
  <si>
    <t>Flächen m^2</t>
  </si>
  <si>
    <t>Geschwindigkeit</t>
  </si>
  <si>
    <t>Geschwindigkeit m/s</t>
  </si>
  <si>
    <t>RING</t>
  </si>
  <si>
    <t>Innenrohr</t>
  </si>
  <si>
    <t>dh m</t>
  </si>
  <si>
    <t>Prandtl</t>
  </si>
  <si>
    <t>Nusselt</t>
  </si>
  <si>
    <t>WÜK kW/(m^2*K)</t>
  </si>
  <si>
    <t>U</t>
  </si>
  <si>
    <t>U  kW/(m*K)</t>
  </si>
  <si>
    <t>Leistung Pumpe kW ges</t>
  </si>
  <si>
    <t>dp Wü1</t>
  </si>
  <si>
    <t>dp wü2</t>
  </si>
  <si>
    <t>Leistung Pumpe kW Wü1</t>
  </si>
  <si>
    <t>Leistung Pumpe Wü2</t>
  </si>
  <si>
    <t>dp o</t>
  </si>
  <si>
    <t>dp u</t>
  </si>
  <si>
    <t>Messstelle</t>
  </si>
  <si>
    <t>alpha</t>
  </si>
  <si>
    <t>zw 1</t>
  </si>
  <si>
    <t>omega</t>
  </si>
  <si>
    <t>zw 2</t>
  </si>
  <si>
    <t>Temperatur °C</t>
  </si>
  <si>
    <t>Druck bar</t>
  </si>
  <si>
    <t>Volumenstrom m^3/s</t>
  </si>
  <si>
    <t>Fläche m^2</t>
  </si>
  <si>
    <t>warm</t>
  </si>
  <si>
    <t>Kalt</t>
  </si>
  <si>
    <t>kalt</t>
  </si>
  <si>
    <t>hydr. D m</t>
  </si>
  <si>
    <t>Betrachtung</t>
  </si>
  <si>
    <t>Gesamt</t>
  </si>
  <si>
    <t>WÜ2</t>
  </si>
  <si>
    <t>WÜ1</t>
  </si>
  <si>
    <t>Qauf</t>
  </si>
  <si>
    <t>V korr</t>
  </si>
  <si>
    <t>Q ab korr</t>
  </si>
  <si>
    <t>Qauf korr</t>
  </si>
  <si>
    <t>diff Q korr</t>
  </si>
  <si>
    <t>Qab kw</t>
  </si>
  <si>
    <t>WÜK</t>
  </si>
  <si>
    <t>Druckdifferenz</t>
  </si>
  <si>
    <t>Messstrom</t>
  </si>
  <si>
    <t>WÜ1 warm</t>
  </si>
  <si>
    <t>WÜ1 kalt</t>
  </si>
  <si>
    <t>WÜ2 warm</t>
  </si>
  <si>
    <t>WÜ2 kalt</t>
  </si>
  <si>
    <t>Gesamt warm</t>
  </si>
  <si>
    <t>Gesamt kalt</t>
  </si>
  <si>
    <t>Leistung Elektrisch kW</t>
  </si>
  <si>
    <t>Verhältnis PQ/PE</t>
  </si>
  <si>
    <t>-</t>
  </si>
  <si>
    <t>Qab kW</t>
  </si>
  <si>
    <t>alpha 1</t>
  </si>
  <si>
    <t>omega 1</t>
  </si>
  <si>
    <t>alpha 2</t>
  </si>
  <si>
    <t>omega 2</t>
  </si>
  <si>
    <t>Reihe</t>
  </si>
  <si>
    <t>Wü1 reihe</t>
  </si>
  <si>
    <t>Wü 2 reihe</t>
  </si>
  <si>
    <t>Parallel</t>
  </si>
  <si>
    <t>Qauf WÜ1 korr</t>
  </si>
  <si>
    <t>Rohrabschnitt</t>
  </si>
  <si>
    <t>Warm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</si>
</sst>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"/>
    <numFmt numFmtId="166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2F2F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1" fillId="0" borderId="0" xfId="0" applyFont="1"/>
    <xf numFmtId="0" fontId="0" fillId="0" borderId="0" xfId="0"/>
    <xf numFmtId="0" fontId="2" fillId="0" borderId="0" xfId="0" applyFont="1"/>
    <xf numFmtId="0" fontId="0" fillId="0" borderId="0" xfId="0" applyBorder="1"/>
    <xf numFmtId="11" fontId="0" fillId="0" borderId="0" xfId="0" applyNumberFormat="1"/>
    <xf numFmtId="2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0" fillId="0" borderId="1" xfId="0" applyBorder="1"/>
    <xf numFmtId="0" fontId="0" fillId="0" borderId="4" xfId="0" applyBorder="1"/>
    <xf numFmtId="0" fontId="0" fillId="0" borderId="5" xfId="0" applyBorder="1"/>
    <xf numFmtId="164" fontId="0" fillId="0" borderId="2" xfId="0" applyNumberFormat="1" applyBorder="1"/>
    <xf numFmtId="164" fontId="0" fillId="0" borderId="0" xfId="0" applyNumberFormat="1" applyBorder="1"/>
    <xf numFmtId="164" fontId="0" fillId="0" borderId="6" xfId="0" applyNumberFormat="1" applyBorder="1"/>
    <xf numFmtId="0" fontId="0" fillId="0" borderId="2" xfId="0" applyBorder="1"/>
    <xf numFmtId="0" fontId="0" fillId="0" borderId="6" xfId="0" applyBorder="1"/>
    <xf numFmtId="0" fontId="0" fillId="0" borderId="3" xfId="0" applyBorder="1"/>
    <xf numFmtId="164" fontId="0" fillId="0" borderId="7" xfId="0" applyNumberFormat="1" applyBorder="1"/>
    <xf numFmtId="0" fontId="0" fillId="0" borderId="7" xfId="0" applyBorder="1"/>
    <xf numFmtId="164" fontId="0" fillId="0" borderId="8" xfId="0" applyNumberFormat="1" applyBorder="1"/>
    <xf numFmtId="0" fontId="0" fillId="3" borderId="2" xfId="0" applyFill="1" applyBorder="1"/>
    <xf numFmtId="2" fontId="0" fillId="0" borderId="6" xfId="0" applyNumberFormat="1" applyBorder="1"/>
    <xf numFmtId="0" fontId="0" fillId="2" borderId="2" xfId="0" applyFill="1" applyBorder="1"/>
    <xf numFmtId="2" fontId="0" fillId="0" borderId="8" xfId="0" applyNumberFormat="1" applyBorder="1"/>
    <xf numFmtId="0" fontId="2" fillId="0" borderId="0" xfId="0" applyFont="1" applyBorder="1"/>
    <xf numFmtId="0" fontId="0" fillId="0" borderId="8" xfId="0" applyBorder="1"/>
    <xf numFmtId="11" fontId="0" fillId="0" borderId="0" xfId="0" applyNumberFormat="1" applyBorder="1"/>
    <xf numFmtId="166" fontId="0" fillId="0" borderId="0" xfId="0" applyNumberFormat="1" applyBorder="1"/>
    <xf numFmtId="166" fontId="0" fillId="0" borderId="6" xfId="0" applyNumberFormat="1" applyBorder="1"/>
    <xf numFmtId="11" fontId="0" fillId="0" borderId="7" xfId="0" applyNumberFormat="1" applyBorder="1"/>
    <xf numFmtId="166" fontId="0" fillId="0" borderId="7" xfId="0" applyNumberFormat="1" applyBorder="1"/>
    <xf numFmtId="166" fontId="0" fillId="0" borderId="8" xfId="0" applyNumberFormat="1" applyBorder="1"/>
    <xf numFmtId="11" fontId="0" fillId="0" borderId="4" xfId="0" applyNumberFormat="1" applyBorder="1"/>
    <xf numFmtId="11" fontId="0" fillId="0" borderId="4" xfId="0" applyNumberFormat="1" applyBorder="1" applyAlignment="1">
      <alignment vertical="center"/>
    </xf>
    <xf numFmtId="2" fontId="0" fillId="0" borderId="5" xfId="0" applyNumberFormat="1" applyBorder="1"/>
    <xf numFmtId="2" fontId="0" fillId="0" borderId="4" xfId="0" applyNumberFormat="1" applyBorder="1"/>
    <xf numFmtId="2" fontId="0" fillId="0" borderId="0" xfId="0" applyNumberFormat="1" applyBorder="1"/>
    <xf numFmtId="11" fontId="0" fillId="0" borderId="9" xfId="0" applyNumberFormat="1" applyBorder="1" applyAlignment="1">
      <alignment vertical="center"/>
    </xf>
    <xf numFmtId="2" fontId="0" fillId="0" borderId="7" xfId="0" applyNumberForma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Fill="1" applyBorder="1"/>
    <xf numFmtId="0" fontId="0" fillId="0" borderId="4" xfId="0" applyFill="1" applyBorder="1"/>
    <xf numFmtId="0" fontId="0" fillId="4" borderId="3" xfId="0" applyFill="1" applyBorder="1"/>
    <xf numFmtId="0" fontId="0" fillId="5" borderId="2" xfId="0" applyFill="1" applyBorder="1"/>
    <xf numFmtId="0" fontId="0" fillId="6" borderId="1" xfId="0" applyFill="1" applyBorder="1"/>
    <xf numFmtId="0" fontId="0" fillId="7" borderId="2" xfId="0" applyFill="1" applyBorder="1"/>
    <xf numFmtId="0" fontId="0" fillId="8" borderId="3" xfId="0" applyFill="1" applyBorder="1"/>
    <xf numFmtId="0" fontId="0" fillId="9" borderId="2" xfId="0" applyFill="1" applyBorder="1"/>
    <xf numFmtId="0" fontId="0" fillId="2" borderId="1" xfId="0" applyFill="1" applyBorder="1"/>
    <xf numFmtId="0" fontId="0" fillId="6" borderId="2" xfId="0" applyFill="1" applyBorder="1"/>
    <xf numFmtId="0" fontId="0" fillId="10" borderId="2" xfId="0" applyFill="1" applyBorder="1"/>
    <xf numFmtId="0" fontId="0" fillId="11" borderId="2" xfId="0" applyFill="1" applyBorder="1"/>
    <xf numFmtId="0" fontId="1" fillId="0" borderId="0" xfId="0" applyFont="1" applyBorder="1"/>
    <xf numFmtId="0" fontId="0" fillId="12" borderId="0" xfId="0" applyFill="1" applyBorder="1"/>
    <xf numFmtId="0" fontId="0" fillId="4" borderId="0" xfId="0" applyFill="1" applyBorder="1"/>
    <xf numFmtId="4" fontId="0" fillId="0" borderId="0" xfId="0" applyNumberFormat="1" applyBorder="1"/>
    <xf numFmtId="0" fontId="1" fillId="0" borderId="0" xfId="0" applyFont="1" applyFill="1" applyBorder="1"/>
    <xf numFmtId="1" fontId="0" fillId="0" borderId="0" xfId="0" applyNumberFormat="1" applyBorder="1"/>
    <xf numFmtId="0" fontId="1" fillId="0" borderId="1" xfId="0" applyFont="1" applyFill="1" applyBorder="1"/>
    <xf numFmtId="0" fontId="1" fillId="0" borderId="4" xfId="0" applyFont="1" applyFill="1" applyBorder="1"/>
    <xf numFmtId="0" fontId="1" fillId="0" borderId="5" xfId="0" applyFont="1" applyBorder="1"/>
    <xf numFmtId="2" fontId="0" fillId="0" borderId="2" xfId="0" applyNumberFormat="1" applyBorder="1"/>
    <xf numFmtId="2" fontId="0" fillId="0" borderId="3" xfId="0" applyNumberFormat="1" applyBorder="1"/>
    <xf numFmtId="0" fontId="0" fillId="0" borderId="0" xfId="0" applyBorder="1" applyAlignment="1">
      <alignment horizontal="center"/>
    </xf>
    <xf numFmtId="11" fontId="0" fillId="0" borderId="0" xfId="0" applyNumberFormat="1" applyBorder="1" applyAlignment="1">
      <alignment vertical="center"/>
    </xf>
    <xf numFmtId="4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2F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Reihe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2"/>
              <c:pt idx="0">
                <c:v>Reihe</c:v>
              </c:pt>
              <c:pt idx="1">
                <c:v>Parallel</c:v>
              </c:pt>
            </c:strLit>
          </c:cat>
          <c:val>
            <c:numRef>
              <c:f>Volumenfehlerbetrachtung!$F$3:$F$4</c:f>
              <c:numCache>
                <c:formatCode>General</c:formatCode>
                <c:ptCount val="2"/>
                <c:pt idx="0">
                  <c:v>7.6737995538927895E-7</c:v>
                </c:pt>
                <c:pt idx="1">
                  <c:v>1.7247291339464923E-6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39-4B83-BE8B-DE188D495434}"/>
            </c:ext>
          </c:extLst>
        </c:ser>
        <c:ser>
          <c:idx val="1"/>
          <c:order val="1"/>
          <c:tx>
            <c:v>Parallel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2"/>
              <c:pt idx="0">
                <c:v>Reihe</c:v>
              </c:pt>
              <c:pt idx="1">
                <c:v>Parallel</c:v>
              </c:pt>
            </c:strLit>
          </c:cat>
          <c:val>
            <c:numRef>
              <c:f>Volumenfehlerbetrachtung!$D$3:$D$4</c:f>
              <c:numCache>
                <c:formatCode>General</c:formatCode>
                <c:ptCount val="2"/>
                <c:pt idx="0">
                  <c:v>7.5225624075242722E-6</c:v>
                </c:pt>
                <c:pt idx="1">
                  <c:v>1.1952037537512665E-6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39-4B83-BE8B-DE188D495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2942928"/>
        <c:axId val="532071312"/>
      </c:barChart>
      <c:catAx>
        <c:axId val="752942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071312"/>
        <c:crosses val="autoZero"/>
        <c:auto val="1"/>
        <c:lblAlgn val="ctr"/>
        <c:lblOffset val="100"/>
        <c:noMultiLvlLbl val="0"/>
      </c:catAx>
      <c:valAx>
        <c:axId val="532071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2942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209550</xdr:colOff>
      <xdr:row>3</xdr:row>
      <xdr:rowOff>90487</xdr:rowOff>
    </xdr:from>
    <xdr:to>
      <xdr:col>13</xdr:col>
      <xdr:colOff>209550</xdr:colOff>
      <xdr:row>17</xdr:row>
      <xdr:rowOff>166687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E5BAC1E1-607C-4421-AEE8-CE645F45D0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BB803-31BF-47BB-8793-0A2B3BDCE959}">
  <sheetPr codeName="Tabelle1"/>
  <dimension ref="A1:M27"/>
  <sheetViews>
    <sheetView zoomScale="70" zoomScaleNormal="70" workbookViewId="0">
      <selection activeCell="F31" sqref="F31"/>
    </sheetView>
  </sheetViews>
  <sheetFormatPr baseColWidth="10" defaultRowHeight="15" x14ac:dyDescent="0.25"/>
  <cols>
    <col min="1" max="1" width="19.85546875" bestFit="1" customWidth="1"/>
    <col min="5" max="5" width="19.85546875" bestFit="1" customWidth="1"/>
    <col min="8" max="8" width="20.140625" bestFit="1" customWidth="1"/>
    <col min="11" max="11" width="20.140625" bestFit="1" customWidth="1"/>
  </cols>
  <sheetData>
    <row r="1" spans="1:13" x14ac:dyDescent="0.25">
      <c r="A1" s="2" t="s">
        <v>69</v>
      </c>
      <c r="B1" s="2"/>
      <c r="C1" s="2"/>
      <c r="D1" s="2"/>
      <c r="E1" s="2" t="s">
        <v>1</v>
      </c>
      <c r="F1" s="2"/>
      <c r="G1" s="2"/>
      <c r="H1" s="2" t="s">
        <v>2</v>
      </c>
      <c r="I1" s="2"/>
      <c r="J1" s="2"/>
      <c r="K1" s="2" t="s">
        <v>3</v>
      </c>
      <c r="L1" s="2"/>
      <c r="M1" s="2"/>
    </row>
    <row r="3" spans="1:13" x14ac:dyDescent="0.25">
      <c r="A3" s="2" t="s">
        <v>4</v>
      </c>
      <c r="B3" s="2">
        <v>5.18</v>
      </c>
      <c r="C3" s="2" t="s">
        <v>5</v>
      </c>
      <c r="D3" s="2"/>
      <c r="E3" s="2" t="s">
        <v>4</v>
      </c>
      <c r="F3" s="2">
        <v>5.35</v>
      </c>
      <c r="G3" s="2" t="s">
        <v>5</v>
      </c>
      <c r="H3" s="2" t="s">
        <v>4</v>
      </c>
      <c r="I3" s="2">
        <v>8.68</v>
      </c>
      <c r="J3" s="2" t="s">
        <v>5</v>
      </c>
      <c r="K3" s="2" t="s">
        <v>4</v>
      </c>
      <c r="L3" s="2">
        <v>10.32</v>
      </c>
      <c r="M3" s="2" t="s">
        <v>5</v>
      </c>
    </row>
    <row r="4" spans="1:13" x14ac:dyDescent="0.25">
      <c r="A4" s="2" t="s">
        <v>6</v>
      </c>
      <c r="B4" s="2">
        <v>474.8</v>
      </c>
      <c r="C4" s="2" t="s">
        <v>7</v>
      </c>
      <c r="D4" s="2"/>
      <c r="E4" s="2" t="s">
        <v>6</v>
      </c>
      <c r="F4" s="2">
        <v>525</v>
      </c>
      <c r="G4" s="2" t="s">
        <v>7</v>
      </c>
      <c r="H4" s="2" t="s">
        <v>8</v>
      </c>
      <c r="I4" s="2">
        <v>522.9</v>
      </c>
      <c r="J4" s="2" t="s">
        <v>7</v>
      </c>
      <c r="K4" s="2" t="s">
        <v>8</v>
      </c>
      <c r="L4" s="2">
        <v>401.7</v>
      </c>
      <c r="M4" s="2" t="s">
        <v>7</v>
      </c>
    </row>
    <row r="6" spans="1:13" x14ac:dyDescent="0.25">
      <c r="A6" s="2" t="s">
        <v>9</v>
      </c>
      <c r="B6" s="2"/>
      <c r="C6" s="2"/>
      <c r="D6" s="2"/>
      <c r="E6" s="2" t="s">
        <v>10</v>
      </c>
      <c r="F6" s="2"/>
      <c r="G6" s="2"/>
      <c r="H6" s="2" t="s">
        <v>9</v>
      </c>
      <c r="I6" s="2"/>
      <c r="J6" s="2"/>
      <c r="K6" s="2" t="s">
        <v>9</v>
      </c>
      <c r="L6" s="2"/>
      <c r="M6" s="2"/>
    </row>
    <row r="7" spans="1:13" x14ac:dyDescent="0.25">
      <c r="A7" s="2" t="s">
        <v>11</v>
      </c>
      <c r="B7" s="2">
        <v>0.69</v>
      </c>
      <c r="C7" s="3" t="s">
        <v>12</v>
      </c>
      <c r="D7" s="2"/>
      <c r="E7" s="2" t="s">
        <v>13</v>
      </c>
      <c r="F7" s="2">
        <v>0.9</v>
      </c>
      <c r="G7" s="2" t="s">
        <v>14</v>
      </c>
      <c r="H7" s="2" t="s">
        <v>15</v>
      </c>
      <c r="I7" s="2">
        <v>0.31</v>
      </c>
      <c r="J7" s="2" t="s">
        <v>14</v>
      </c>
      <c r="K7" s="2" t="s">
        <v>15</v>
      </c>
      <c r="L7" s="2">
        <v>0.16</v>
      </c>
      <c r="M7" s="2" t="s">
        <v>14</v>
      </c>
    </row>
    <row r="8" spans="1:13" x14ac:dyDescent="0.25">
      <c r="A8" s="2" t="s">
        <v>16</v>
      </c>
      <c r="B8" s="2">
        <v>1.03</v>
      </c>
      <c r="C8" s="2" t="s">
        <v>14</v>
      </c>
      <c r="D8" s="2"/>
      <c r="E8" s="2" t="s">
        <v>17</v>
      </c>
      <c r="F8" s="2">
        <v>1.35</v>
      </c>
      <c r="G8" s="2" t="s">
        <v>14</v>
      </c>
      <c r="H8" s="2" t="s">
        <v>18</v>
      </c>
      <c r="I8" s="2">
        <v>0.3</v>
      </c>
      <c r="J8" s="2" t="s">
        <v>14</v>
      </c>
      <c r="K8" s="2" t="s">
        <v>18</v>
      </c>
      <c r="L8" s="2">
        <v>0.14000000000000001</v>
      </c>
      <c r="M8" s="2" t="s">
        <v>14</v>
      </c>
    </row>
    <row r="9" spans="1:13" x14ac:dyDescent="0.25">
      <c r="A9" s="2" t="s">
        <v>19</v>
      </c>
      <c r="B9" s="2">
        <v>0.215</v>
      </c>
      <c r="C9" s="2" t="s">
        <v>14</v>
      </c>
      <c r="D9" s="2"/>
      <c r="E9" s="2" t="s">
        <v>19</v>
      </c>
      <c r="F9" s="2">
        <v>0.26800000000000002</v>
      </c>
      <c r="G9" s="2" t="s">
        <v>14</v>
      </c>
      <c r="H9" s="2" t="s">
        <v>20</v>
      </c>
      <c r="I9" s="2">
        <v>0.152</v>
      </c>
      <c r="J9" s="2" t="s">
        <v>14</v>
      </c>
      <c r="K9" s="2" t="s">
        <v>20</v>
      </c>
      <c r="L9" s="2">
        <v>3.9E-2</v>
      </c>
      <c r="M9" s="2" t="s">
        <v>14</v>
      </c>
    </row>
    <row r="10" spans="1:13" x14ac:dyDescent="0.25">
      <c r="A10" s="2" t="s">
        <v>21</v>
      </c>
      <c r="B10" s="2">
        <v>0.5</v>
      </c>
      <c r="C10" s="2" t="s">
        <v>14</v>
      </c>
      <c r="D10" s="2"/>
      <c r="E10" s="2" t="s">
        <v>21</v>
      </c>
      <c r="F10" s="2">
        <v>0.61</v>
      </c>
      <c r="G10" s="2" t="s">
        <v>14</v>
      </c>
      <c r="H10" s="2" t="s">
        <v>22</v>
      </c>
      <c r="I10" s="2">
        <v>0.2</v>
      </c>
      <c r="J10" s="2" t="s">
        <v>14</v>
      </c>
      <c r="K10" s="2" t="s">
        <v>22</v>
      </c>
      <c r="L10" s="2">
        <v>7.0000000000000007E-2</v>
      </c>
      <c r="M10" s="2" t="s">
        <v>14</v>
      </c>
    </row>
    <row r="11" spans="1:13" x14ac:dyDescent="0.25">
      <c r="A11" s="2" t="s">
        <v>23</v>
      </c>
      <c r="B11" s="2">
        <v>1.3</v>
      </c>
      <c r="C11" s="2" t="s">
        <v>14</v>
      </c>
      <c r="D11" s="2"/>
      <c r="E11" s="2" t="s">
        <v>23</v>
      </c>
      <c r="F11" s="2">
        <v>1.22</v>
      </c>
      <c r="G11" s="2" t="s">
        <v>14</v>
      </c>
      <c r="H11" s="2" t="s">
        <v>24</v>
      </c>
      <c r="I11" s="2">
        <v>0.4</v>
      </c>
      <c r="J11" s="2" t="s">
        <v>14</v>
      </c>
      <c r="K11" s="2" t="s">
        <v>24</v>
      </c>
      <c r="L11" s="2">
        <v>0.4</v>
      </c>
      <c r="M11" s="2" t="s">
        <v>14</v>
      </c>
    </row>
    <row r="12" spans="1:13" x14ac:dyDescent="0.25">
      <c r="A12" s="2" t="s">
        <v>25</v>
      </c>
      <c r="B12" s="2">
        <v>6.5000000000000002E-2</v>
      </c>
      <c r="C12" s="2" t="s">
        <v>14</v>
      </c>
      <c r="D12" s="2"/>
      <c r="E12" s="2" t="s">
        <v>26</v>
      </c>
      <c r="F12" s="2">
        <v>7.0000000000000007E-2</v>
      </c>
      <c r="G12" s="2" t="s">
        <v>14</v>
      </c>
      <c r="H12" s="2" t="s">
        <v>27</v>
      </c>
      <c r="I12" s="2">
        <v>0.50700000000000001</v>
      </c>
      <c r="J12" s="2" t="s">
        <v>14</v>
      </c>
      <c r="K12" s="2" t="s">
        <v>27</v>
      </c>
      <c r="L12" s="2">
        <v>0.42599999999999999</v>
      </c>
      <c r="M12" s="2" t="s">
        <v>14</v>
      </c>
    </row>
    <row r="13" spans="1:13" x14ac:dyDescent="0.25">
      <c r="A13" s="2" t="s">
        <v>28</v>
      </c>
      <c r="B13" s="2">
        <v>0.9</v>
      </c>
      <c r="C13" s="2" t="s">
        <v>14</v>
      </c>
      <c r="D13" s="2"/>
      <c r="E13" s="2" t="s">
        <v>29</v>
      </c>
      <c r="F13" s="2">
        <v>1.18</v>
      </c>
      <c r="G13" s="2" t="s">
        <v>14</v>
      </c>
      <c r="H13" s="2" t="s">
        <v>30</v>
      </c>
      <c r="I13" s="2">
        <v>1.53</v>
      </c>
      <c r="J13" s="2" t="s">
        <v>14</v>
      </c>
      <c r="K13" s="2" t="s">
        <v>30</v>
      </c>
      <c r="L13" s="2">
        <v>1.64</v>
      </c>
      <c r="M13" s="2" t="s">
        <v>14</v>
      </c>
    </row>
    <row r="14" spans="1:13" x14ac:dyDescent="0.25">
      <c r="A14" s="2" t="s">
        <v>31</v>
      </c>
      <c r="B14" s="2">
        <v>2.2999999999999998</v>
      </c>
      <c r="C14" s="2" t="s">
        <v>14</v>
      </c>
      <c r="D14" s="2"/>
      <c r="E14" s="2" t="s">
        <v>31</v>
      </c>
      <c r="F14" s="2">
        <v>2.41</v>
      </c>
      <c r="G14" s="2" t="s">
        <v>14</v>
      </c>
      <c r="H14" s="2" t="s">
        <v>32</v>
      </c>
      <c r="I14" s="2">
        <v>1.58</v>
      </c>
      <c r="J14" s="2" t="s">
        <v>14</v>
      </c>
      <c r="K14" s="2" t="s">
        <v>32</v>
      </c>
      <c r="L14" s="2">
        <v>1.71</v>
      </c>
      <c r="M14" s="2" t="s">
        <v>14</v>
      </c>
    </row>
    <row r="16" spans="1:13" x14ac:dyDescent="0.25">
      <c r="A16" s="2" t="s">
        <v>33</v>
      </c>
      <c r="B16" s="2"/>
      <c r="C16" s="2"/>
      <c r="D16" s="2"/>
      <c r="E16" s="2" t="s">
        <v>33</v>
      </c>
      <c r="F16" s="2"/>
      <c r="G16" s="2"/>
      <c r="H16" s="2" t="s">
        <v>33</v>
      </c>
      <c r="I16" s="2"/>
      <c r="J16" s="2"/>
      <c r="K16" s="2" t="s">
        <v>33</v>
      </c>
      <c r="L16" s="2"/>
      <c r="M16" s="2"/>
    </row>
    <row r="17" spans="1:13" x14ac:dyDescent="0.25">
      <c r="A17" s="2" t="s">
        <v>34</v>
      </c>
      <c r="B17" s="2">
        <v>46.58</v>
      </c>
      <c r="C17" s="2" t="s">
        <v>35</v>
      </c>
      <c r="D17" s="2"/>
      <c r="E17" s="2" t="s">
        <v>34</v>
      </c>
      <c r="F17" s="2">
        <v>36.299999999999997</v>
      </c>
      <c r="G17" s="2" t="s">
        <v>35</v>
      </c>
      <c r="H17" s="2" t="s">
        <v>36</v>
      </c>
      <c r="I17" s="2">
        <v>55.63</v>
      </c>
      <c r="J17" s="2" t="s">
        <v>35</v>
      </c>
      <c r="K17" s="2" t="s">
        <v>36</v>
      </c>
      <c r="L17" s="2">
        <v>56.62</v>
      </c>
      <c r="M17" s="2" t="s">
        <v>35</v>
      </c>
    </row>
    <row r="18" spans="1:13" x14ac:dyDescent="0.25">
      <c r="A18" s="2" t="s">
        <v>37</v>
      </c>
      <c r="B18" s="2">
        <v>55.38</v>
      </c>
      <c r="C18" s="2" t="s">
        <v>35</v>
      </c>
      <c r="D18" s="2"/>
      <c r="E18" s="2" t="s">
        <v>37</v>
      </c>
      <c r="F18" s="2">
        <v>50.73</v>
      </c>
      <c r="G18" s="2" t="s">
        <v>35</v>
      </c>
      <c r="H18" s="2" t="s">
        <v>38</v>
      </c>
      <c r="I18" s="2">
        <v>55.54</v>
      </c>
      <c r="J18" s="2" t="s">
        <v>35</v>
      </c>
      <c r="K18" s="2" t="s">
        <v>38</v>
      </c>
      <c r="L18" s="2">
        <v>56.57</v>
      </c>
      <c r="M18" s="2" t="s">
        <v>35</v>
      </c>
    </row>
    <row r="19" spans="1:13" x14ac:dyDescent="0.25">
      <c r="A19" s="2" t="s">
        <v>39</v>
      </c>
      <c r="B19" s="2">
        <v>46.56</v>
      </c>
      <c r="C19" s="2" t="s">
        <v>35</v>
      </c>
      <c r="D19" s="2"/>
      <c r="E19" s="2" t="s">
        <v>39</v>
      </c>
      <c r="F19" s="2">
        <v>36.32</v>
      </c>
      <c r="G19" s="2" t="s">
        <v>35</v>
      </c>
      <c r="H19" s="2" t="s">
        <v>40</v>
      </c>
      <c r="I19" s="2">
        <v>30.71</v>
      </c>
      <c r="J19" s="2" t="s">
        <v>35</v>
      </c>
      <c r="K19" s="2" t="s">
        <v>40</v>
      </c>
      <c r="L19" s="2">
        <v>35.1</v>
      </c>
      <c r="M19" s="2" t="s">
        <v>35</v>
      </c>
    </row>
    <row r="20" spans="1:13" x14ac:dyDescent="0.25">
      <c r="A20" s="2" t="s">
        <v>41</v>
      </c>
      <c r="B20" s="2">
        <v>32.729999999999997</v>
      </c>
      <c r="C20" s="2" t="s">
        <v>35</v>
      </c>
      <c r="D20" s="2"/>
      <c r="E20" s="2" t="s">
        <v>41</v>
      </c>
      <c r="F20" s="2">
        <v>35.5</v>
      </c>
      <c r="G20" s="2" t="s">
        <v>35</v>
      </c>
      <c r="H20" s="2" t="s">
        <v>42</v>
      </c>
      <c r="I20" s="2">
        <v>31.52</v>
      </c>
      <c r="J20" s="2" t="s">
        <v>35</v>
      </c>
      <c r="K20" s="2" t="s">
        <v>42</v>
      </c>
      <c r="L20" s="2">
        <v>35.94</v>
      </c>
      <c r="M20" s="2" t="s">
        <v>35</v>
      </c>
    </row>
    <row r="21" spans="1:13" x14ac:dyDescent="0.25">
      <c r="A21" s="2" t="s">
        <v>43</v>
      </c>
      <c r="B21" s="2">
        <v>36.75</v>
      </c>
      <c r="C21" s="2" t="s">
        <v>35</v>
      </c>
      <c r="D21" s="2"/>
      <c r="E21" s="2" t="s">
        <v>43</v>
      </c>
      <c r="F21" s="2">
        <v>33.979999999999997</v>
      </c>
      <c r="G21" s="2" t="s">
        <v>35</v>
      </c>
      <c r="H21" s="2" t="s">
        <v>44</v>
      </c>
      <c r="I21" s="2">
        <v>39.83</v>
      </c>
      <c r="J21" s="2" t="s">
        <v>35</v>
      </c>
      <c r="K21" s="2" t="s">
        <v>44</v>
      </c>
      <c r="L21" s="2">
        <v>33.840000000000003</v>
      </c>
      <c r="M21" s="2" t="s">
        <v>35</v>
      </c>
    </row>
    <row r="22" spans="1:13" x14ac:dyDescent="0.25">
      <c r="A22" s="2" t="s">
        <v>45</v>
      </c>
      <c r="B22" s="2">
        <v>49.68</v>
      </c>
      <c r="C22" s="2" t="s">
        <v>35</v>
      </c>
      <c r="D22" s="2"/>
      <c r="E22" s="2" t="s">
        <v>45</v>
      </c>
      <c r="F22" s="2">
        <v>35.340000000000003</v>
      </c>
      <c r="G22" s="2" t="s">
        <v>35</v>
      </c>
      <c r="H22" s="2" t="s">
        <v>46</v>
      </c>
      <c r="I22" s="2">
        <v>38.409999999999997</v>
      </c>
      <c r="J22" s="2" t="s">
        <v>35</v>
      </c>
      <c r="K22" s="2" t="s">
        <v>46</v>
      </c>
      <c r="L22" s="2">
        <v>33.229999999999997</v>
      </c>
      <c r="M22" s="2" t="s">
        <v>35</v>
      </c>
    </row>
    <row r="23" spans="1:13" x14ac:dyDescent="0.25">
      <c r="A23" s="2" t="s">
        <v>47</v>
      </c>
      <c r="B23" s="2">
        <v>36.71</v>
      </c>
      <c r="C23" s="2" t="s">
        <v>35</v>
      </c>
      <c r="D23" s="2"/>
      <c r="E23" s="2" t="s">
        <v>47</v>
      </c>
      <c r="F23" s="2">
        <v>33.979999999999997</v>
      </c>
      <c r="G23" s="2" t="s">
        <v>35</v>
      </c>
      <c r="H23" s="2" t="s">
        <v>48</v>
      </c>
      <c r="I23" s="2">
        <v>16.21</v>
      </c>
      <c r="J23" s="2" t="s">
        <v>35</v>
      </c>
      <c r="K23" s="2" t="s">
        <v>48</v>
      </c>
      <c r="L23" s="2">
        <v>15.97</v>
      </c>
      <c r="M23" s="2" t="s">
        <v>35</v>
      </c>
    </row>
    <row r="24" spans="1:13" x14ac:dyDescent="0.25">
      <c r="A24" s="2" t="s">
        <v>49</v>
      </c>
      <c r="B24" s="2">
        <v>16.100000000000001</v>
      </c>
      <c r="C24" s="2" t="s">
        <v>35</v>
      </c>
      <c r="D24" s="2"/>
      <c r="E24" s="2" t="s">
        <v>49</v>
      </c>
      <c r="F24" s="2">
        <v>16.3</v>
      </c>
      <c r="G24" s="2" t="s">
        <v>35</v>
      </c>
      <c r="H24" s="2" t="s">
        <v>50</v>
      </c>
      <c r="I24" s="2">
        <v>16.3</v>
      </c>
      <c r="J24" s="2" t="s">
        <v>35</v>
      </c>
      <c r="K24" s="2" t="s">
        <v>50</v>
      </c>
      <c r="L24" s="2">
        <v>15.91</v>
      </c>
      <c r="M24" s="2" t="s">
        <v>35</v>
      </c>
    </row>
    <row r="27" spans="1:13" x14ac:dyDescent="0.25">
      <c r="A27" t="s">
        <v>59</v>
      </c>
      <c r="B27" t="s">
        <v>60</v>
      </c>
      <c r="C27" s="1">
        <v>0.98099999999999998</v>
      </c>
      <c r="D27" t="s">
        <v>14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4EF87-B457-4D1C-9556-6DBD096601DD}">
  <sheetPr codeName="Tabelle2"/>
  <dimension ref="A1:F7"/>
  <sheetViews>
    <sheetView workbookViewId="0">
      <selection activeCell="D4" sqref="D4"/>
    </sheetView>
  </sheetViews>
  <sheetFormatPr baseColWidth="10" defaultRowHeight="15" x14ac:dyDescent="0.25"/>
  <cols>
    <col min="1" max="1" width="33.42578125" bestFit="1" customWidth="1"/>
    <col min="4" max="4" width="12" bestFit="1" customWidth="1"/>
  </cols>
  <sheetData>
    <row r="1" spans="1:6" x14ac:dyDescent="0.25">
      <c r="A1" t="s">
        <v>52</v>
      </c>
      <c r="B1">
        <v>4.1849999999999996</v>
      </c>
      <c r="C1" t="s">
        <v>53</v>
      </c>
    </row>
    <row r="2" spans="1:6" x14ac:dyDescent="0.25">
      <c r="A2" t="s">
        <v>51</v>
      </c>
      <c r="B2">
        <v>15</v>
      </c>
      <c r="C2" t="s">
        <v>54</v>
      </c>
    </row>
    <row r="3" spans="1:6" x14ac:dyDescent="0.25">
      <c r="D3" t="s">
        <v>91</v>
      </c>
      <c r="F3" t="s">
        <v>96</v>
      </c>
    </row>
    <row r="4" spans="1:6" x14ac:dyDescent="0.25">
      <c r="A4" t="s">
        <v>90</v>
      </c>
      <c r="B4">
        <v>16</v>
      </c>
      <c r="C4" t="s">
        <v>55</v>
      </c>
      <c r="D4">
        <f>PI()/4*((B4/1000)^2-(B6/1000)^2)</f>
        <v>6.8329640215577996E-5</v>
      </c>
      <c r="E4" t="s">
        <v>94</v>
      </c>
      <c r="F4">
        <f>(B4-B6)/1000</f>
        <v>3.0000000000000001E-3</v>
      </c>
    </row>
    <row r="5" spans="1:6" x14ac:dyDescent="0.25">
      <c r="A5" t="s">
        <v>89</v>
      </c>
      <c r="B5">
        <v>10</v>
      </c>
      <c r="C5" t="s">
        <v>55</v>
      </c>
      <c r="D5" s="2">
        <f t="shared" ref="D5" si="0">PI()/4*(B5/1000)^2</f>
        <v>7.8539816339744827E-5</v>
      </c>
      <c r="E5" t="s">
        <v>95</v>
      </c>
      <c r="F5">
        <f>B5/1000</f>
        <v>0.01</v>
      </c>
    </row>
    <row r="6" spans="1:6" x14ac:dyDescent="0.25">
      <c r="A6" t="s">
        <v>56</v>
      </c>
      <c r="B6">
        <v>13</v>
      </c>
      <c r="C6" t="s">
        <v>55</v>
      </c>
      <c r="D6" s="2"/>
    </row>
    <row r="7" spans="1:6" x14ac:dyDescent="0.25">
      <c r="A7" t="s">
        <v>57</v>
      </c>
      <c r="B7">
        <v>7.5</v>
      </c>
      <c r="C7" t="s">
        <v>58</v>
      </c>
      <c r="D7" s="2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B035B-BFE2-44F8-9773-B3702702AFAE}">
  <sheetPr codeName="Tabelle3"/>
  <dimension ref="A1:N41"/>
  <sheetViews>
    <sheetView topLeftCell="A14" zoomScale="80" zoomScaleNormal="80" workbookViewId="0">
      <selection activeCell="E37" sqref="E37"/>
    </sheetView>
  </sheetViews>
  <sheetFormatPr baseColWidth="10" defaultRowHeight="15" x14ac:dyDescent="0.25"/>
  <cols>
    <col min="1" max="1" width="28.28515625" bestFit="1" customWidth="1"/>
    <col min="2" max="2" width="13.42578125" bestFit="1" customWidth="1"/>
    <col min="4" max="4" width="14.28515625" bestFit="1" customWidth="1"/>
    <col min="5" max="5" width="19.5703125" customWidth="1"/>
    <col min="6" max="6" width="19.7109375" bestFit="1" customWidth="1"/>
    <col min="7" max="7" width="24" bestFit="1" customWidth="1"/>
    <col min="8" max="8" width="20.140625" bestFit="1" customWidth="1"/>
    <col min="9" max="9" width="15.5703125" bestFit="1" customWidth="1"/>
    <col min="10" max="10" width="20.28515625" bestFit="1" customWidth="1"/>
    <col min="11" max="11" width="16.42578125" bestFit="1" customWidth="1"/>
    <col min="12" max="12" width="18.140625" bestFit="1" customWidth="1"/>
    <col min="13" max="13" width="20.28515625" bestFit="1" customWidth="1"/>
    <col min="14" max="14" width="15.5703125" bestFit="1" customWidth="1"/>
  </cols>
  <sheetData>
    <row r="1" spans="1:14" x14ac:dyDescent="0.25">
      <c r="A1" s="2" t="s">
        <v>0</v>
      </c>
      <c r="B1" s="2"/>
      <c r="C1" s="2"/>
      <c r="D1" s="2"/>
    </row>
    <row r="2" spans="1:14" x14ac:dyDescent="0.25">
      <c r="A2" s="2"/>
      <c r="B2" s="2"/>
      <c r="C2" s="2"/>
      <c r="D2" s="2"/>
      <c r="F2" t="s">
        <v>93</v>
      </c>
    </row>
    <row r="3" spans="1:14" x14ac:dyDescent="0.25">
      <c r="A3" s="9" t="s">
        <v>4</v>
      </c>
      <c r="B3" s="10">
        <v>5.18</v>
      </c>
      <c r="C3" s="10" t="s">
        <v>5</v>
      </c>
      <c r="D3" s="33">
        <f>B3/1000/60</f>
        <v>8.6333333333333322E-5</v>
      </c>
      <c r="E3" s="11" t="s">
        <v>61</v>
      </c>
      <c r="F3" s="7">
        <f>D3/Konstanten!D4</f>
        <v>1.2634829198712916</v>
      </c>
    </row>
    <row r="4" spans="1:14" x14ac:dyDescent="0.25">
      <c r="A4" s="17" t="s">
        <v>6</v>
      </c>
      <c r="B4" s="19">
        <v>474.8</v>
      </c>
      <c r="C4" s="19" t="s">
        <v>7</v>
      </c>
      <c r="D4" s="30">
        <f>B4/1000/3600</f>
        <v>1.3188888888888888E-4</v>
      </c>
      <c r="E4" s="26" t="s">
        <v>61</v>
      </c>
      <c r="F4" s="7">
        <f>D4/Konstanten!D5</f>
        <v>1.6792614884451533</v>
      </c>
    </row>
    <row r="5" spans="1:14" x14ac:dyDescent="0.25">
      <c r="A5" s="2"/>
      <c r="B5" s="2"/>
      <c r="C5" s="2"/>
      <c r="D5" s="2"/>
    </row>
    <row r="6" spans="1:14" x14ac:dyDescent="0.25">
      <c r="A6" s="9" t="s">
        <v>9</v>
      </c>
      <c r="B6" s="10"/>
      <c r="C6" s="10"/>
      <c r="D6" s="10"/>
      <c r="E6" s="9" t="s">
        <v>83</v>
      </c>
      <c r="F6" s="10"/>
      <c r="G6" s="10" t="s">
        <v>102</v>
      </c>
      <c r="H6" s="10" t="s">
        <v>86</v>
      </c>
      <c r="I6" s="44" t="s">
        <v>103</v>
      </c>
      <c r="J6" s="10" t="s">
        <v>87</v>
      </c>
      <c r="K6" s="10" t="s">
        <v>84</v>
      </c>
      <c r="L6" s="44" t="s">
        <v>104</v>
      </c>
      <c r="M6" s="10" t="s">
        <v>87</v>
      </c>
      <c r="N6" s="11" t="s">
        <v>85</v>
      </c>
    </row>
    <row r="7" spans="1:14" x14ac:dyDescent="0.25">
      <c r="A7" s="23" t="s">
        <v>11</v>
      </c>
      <c r="B7" s="4">
        <v>0.69</v>
      </c>
      <c r="C7" s="25" t="s">
        <v>12</v>
      </c>
      <c r="D7" s="4">
        <v>0.67659999999999998</v>
      </c>
      <c r="E7" s="15">
        <f>B8-B9</f>
        <v>0.81500000000000006</v>
      </c>
      <c r="F7" s="4" t="s">
        <v>80</v>
      </c>
      <c r="G7" s="27">
        <f>E7*D4/0.8*10^5/1000</f>
        <v>1.3436180555555555E-2</v>
      </c>
      <c r="H7" s="28">
        <f>C32/G7</f>
        <v>897.33725975781499</v>
      </c>
      <c r="I7">
        <f>(B9-B10)*-1</f>
        <v>0.28500000000000003</v>
      </c>
      <c r="J7" s="27">
        <f>I7*$D$4/0.8*10^5/1000</f>
        <v>4.698541666666666E-3</v>
      </c>
      <c r="K7" s="28">
        <f>E32/J7</f>
        <v>1576.3886448157382</v>
      </c>
      <c r="L7">
        <f>B8-D7</f>
        <v>0.35340000000000005</v>
      </c>
      <c r="M7" s="27">
        <f>L7*$D$4/0.8*10^5/1000</f>
        <v>5.8261916666666668E-3</v>
      </c>
      <c r="N7" s="29">
        <f>G32/M7</f>
        <v>796.01279486527199</v>
      </c>
    </row>
    <row r="8" spans="1:14" x14ac:dyDescent="0.25">
      <c r="A8" s="50" t="s">
        <v>16</v>
      </c>
      <c r="B8" s="4">
        <v>1.03</v>
      </c>
      <c r="C8" s="4" t="s">
        <v>14</v>
      </c>
      <c r="D8" s="4"/>
      <c r="E8" s="17">
        <f>B14-B12</f>
        <v>2.2349999999999999</v>
      </c>
      <c r="F8" s="19" t="s">
        <v>81</v>
      </c>
      <c r="G8" s="30">
        <f>E8*D3/0.8*10^5/1000</f>
        <v>2.4119374999999998E-2</v>
      </c>
      <c r="H8" s="31">
        <f>C32/G8</f>
        <v>499.87967935875037</v>
      </c>
      <c r="I8" s="4">
        <f>-B24+B23</f>
        <v>20.61</v>
      </c>
      <c r="J8" s="30">
        <f>I8*D3/0.8*10^5/1000</f>
        <v>0.22241624999999995</v>
      </c>
      <c r="K8" s="31">
        <f>E32/J8</f>
        <v>33.301198678275291</v>
      </c>
      <c r="L8" s="4">
        <f>B22-B21</f>
        <v>12.93</v>
      </c>
      <c r="M8" s="30">
        <f>L8*D3/0.8*10^5/1000</f>
        <v>0.13953624999999997</v>
      </c>
      <c r="N8" s="32">
        <f>G32/M8</f>
        <v>33.236690193437845</v>
      </c>
    </row>
    <row r="9" spans="1:14" x14ac:dyDescent="0.25">
      <c r="A9" s="53" t="s">
        <v>19</v>
      </c>
      <c r="B9" s="4">
        <v>0.215</v>
      </c>
      <c r="C9" s="4" t="s">
        <v>14</v>
      </c>
      <c r="D9" s="4"/>
      <c r="E9" s="4"/>
      <c r="F9" s="4"/>
      <c r="G9" s="4"/>
      <c r="H9" s="4"/>
      <c r="I9" s="4"/>
      <c r="J9" s="4"/>
      <c r="K9" s="4"/>
      <c r="L9" s="4"/>
      <c r="M9" s="4"/>
      <c r="N9" s="4"/>
    </row>
    <row r="10" spans="1:14" x14ac:dyDescent="0.25">
      <c r="A10" s="54" t="s">
        <v>21</v>
      </c>
      <c r="B10" s="4">
        <v>0.5</v>
      </c>
      <c r="C10" s="4" t="s">
        <v>14</v>
      </c>
      <c r="D10" s="16"/>
      <c r="E10" s="15"/>
      <c r="F10" s="4"/>
      <c r="G10" s="4"/>
      <c r="H10" s="4"/>
      <c r="I10" s="4"/>
      <c r="J10" s="4"/>
      <c r="K10" s="4"/>
    </row>
    <row r="11" spans="1:14" x14ac:dyDescent="0.25">
      <c r="A11" s="52" t="s">
        <v>23</v>
      </c>
      <c r="B11" s="4">
        <v>1.3</v>
      </c>
      <c r="C11" s="4" t="s">
        <v>14</v>
      </c>
      <c r="D11" s="16"/>
      <c r="E11" s="15"/>
      <c r="F11" s="4"/>
      <c r="G11" s="27"/>
      <c r="H11" s="28"/>
      <c r="I11" s="28"/>
      <c r="J11" s="28"/>
      <c r="K11" s="4"/>
    </row>
    <row r="12" spans="1:14" x14ac:dyDescent="0.25">
      <c r="A12" s="48" t="s">
        <v>25</v>
      </c>
      <c r="B12" s="4">
        <v>6.5000000000000002E-2</v>
      </c>
      <c r="C12" s="4" t="s">
        <v>14</v>
      </c>
      <c r="D12" s="16"/>
    </row>
    <row r="13" spans="1:14" x14ac:dyDescent="0.25">
      <c r="A13" s="46" t="s">
        <v>28</v>
      </c>
      <c r="B13" s="4">
        <v>0.9</v>
      </c>
      <c r="C13" s="4" t="s">
        <v>14</v>
      </c>
      <c r="D13" s="16"/>
    </row>
    <row r="14" spans="1:14" x14ac:dyDescent="0.25">
      <c r="A14" s="45" t="s">
        <v>31</v>
      </c>
      <c r="B14" s="19">
        <v>2.2999999999999998</v>
      </c>
      <c r="C14" s="19" t="s">
        <v>14</v>
      </c>
      <c r="D14" s="26"/>
    </row>
    <row r="15" spans="1:14" x14ac:dyDescent="0.25">
      <c r="A15" s="2"/>
      <c r="B15" s="2"/>
      <c r="C15" s="2"/>
      <c r="D15" s="2"/>
    </row>
    <row r="16" spans="1:14" x14ac:dyDescent="0.25">
      <c r="A16" s="9" t="s">
        <v>33</v>
      </c>
      <c r="B16" s="10"/>
      <c r="C16" s="10"/>
      <c r="D16" s="11" t="s">
        <v>62</v>
      </c>
      <c r="E16" t="s">
        <v>88</v>
      </c>
      <c r="F16" t="s">
        <v>97</v>
      </c>
      <c r="G16" t="s">
        <v>98</v>
      </c>
      <c r="H16" t="s">
        <v>99</v>
      </c>
      <c r="I16" t="s">
        <v>101</v>
      </c>
    </row>
    <row r="17" spans="1:9" x14ac:dyDescent="0.25">
      <c r="A17" s="51" t="s">
        <v>34</v>
      </c>
      <c r="B17" s="10">
        <v>46.58</v>
      </c>
      <c r="C17" s="10" t="s">
        <v>35</v>
      </c>
      <c r="D17" s="35" cm="1">
        <f t="array" ref="D17">dichte(B17)</f>
        <v>988.23250000000007</v>
      </c>
      <c r="E17" s="34" cm="1">
        <f t="array" ref="E17">Konstanten!$F$5*'Gegenstrom Reihe'!$F$4/kinv('Gegenstrom Reihe'!B17)</f>
        <v>28707.033036332701</v>
      </c>
      <c r="F17" s="36" cm="1">
        <f t="array" ref="F17">kinv(B17)*Konstanten!$B$1*dichte('Gegenstrom Reihe'!B17)/wlf('Gegenstrom Reihe'!B17)</f>
        <v>3.7992825509641848</v>
      </c>
      <c r="G17" s="33">
        <f>0.023*(E17^2*F17)^0.4</f>
        <v>144.54368435855042</v>
      </c>
      <c r="H17" s="35" cm="1">
        <f t="array" ref="H17">G17/Konstanten!$F$5*wlf(B17)</f>
        <v>9.204117225213265</v>
      </c>
      <c r="I17" s="40">
        <f>1/((1/(H24*0.01))+((1/(2*0.015))*LN(0.013/0.01))+(1/(H20*0.013)))</f>
        <v>3.0651726891147625E-2</v>
      </c>
    </row>
    <row r="18" spans="1:9" x14ac:dyDescent="0.25">
      <c r="A18" s="50" t="s">
        <v>37</v>
      </c>
      <c r="B18" s="4">
        <v>55.38</v>
      </c>
      <c r="C18" s="4" t="s">
        <v>35</v>
      </c>
      <c r="D18" s="22" cm="1">
        <f t="array" ref="D18">dichte(B18)</f>
        <v>984.9325</v>
      </c>
      <c r="E18" s="34" cm="1">
        <f t="array" ref="E18">Konstanten!$F$5*'Gegenstrom Reihe'!$F$4/kinv('Gegenstrom Reihe'!B18)</f>
        <v>33225.847330579832</v>
      </c>
      <c r="F18" s="37" cm="1">
        <f t="array" ref="F18">kinv(B18)*Konstanten!$B$1*dichte('Gegenstrom Reihe'!B18)/wlf('Gegenstrom Reihe'!B18)</f>
        <v>3.2197726768418637</v>
      </c>
      <c r="G18" s="27">
        <f t="shared" ref="G18:G24" si="0">0.023*(E18^2*F18)^0.4</f>
        <v>152.06832854165054</v>
      </c>
      <c r="H18" s="22" cm="1">
        <f t="array" ref="H18">G18/Konstanten!$F$5*wlf(B18)</f>
        <v>9.8391539359819156</v>
      </c>
      <c r="I18" s="41"/>
    </row>
    <row r="19" spans="1:9" x14ac:dyDescent="0.25">
      <c r="A19" s="21" t="s">
        <v>39</v>
      </c>
      <c r="B19" s="4">
        <v>46.56</v>
      </c>
      <c r="C19" s="4" t="s">
        <v>35</v>
      </c>
      <c r="D19" s="22" cm="1">
        <f t="array" ref="D19">dichte(B19)</f>
        <v>988.24</v>
      </c>
      <c r="E19" s="34" cm="1">
        <f t="array" ref="E19">Konstanten!$F$5*'Gegenstrom Reihe'!$F$4/kinv('Gegenstrom Reihe'!B19)</f>
        <v>28696.928615164004</v>
      </c>
      <c r="F19" s="37" cm="1">
        <f t="array" ref="F19">kinv(B19)*Konstanten!$B$1*dichte('Gegenstrom Reihe'!B19)/wlf('Gegenstrom Reihe'!B19)</f>
        <v>3.8007980062265605</v>
      </c>
      <c r="G19" s="27">
        <f t="shared" si="0"/>
        <v>144.52603419716041</v>
      </c>
      <c r="H19" s="22" cm="1">
        <f t="array" ref="H19">G19/Konstanten!$F$5*wlf(B19)</f>
        <v>9.2026328922565845</v>
      </c>
      <c r="I19" s="41"/>
    </row>
    <row r="20" spans="1:9" x14ac:dyDescent="0.25">
      <c r="A20" s="49" t="s">
        <v>41</v>
      </c>
      <c r="B20" s="19">
        <v>32.729999999999997</v>
      </c>
      <c r="C20" s="19" t="s">
        <v>35</v>
      </c>
      <c r="D20" s="24" cm="1">
        <f t="array" ref="D20">dichte(B20)</f>
        <v>993.4262500000001</v>
      </c>
      <c r="E20" s="38" cm="1">
        <f t="array" ref="E20">Konstanten!$F$5*'Gegenstrom Reihe'!$F$4/kinv('Gegenstrom Reihe'!B20)</f>
        <v>22017.65056808342</v>
      </c>
      <c r="F20" s="39" cm="1">
        <f t="array" ref="F20">kinv(B20)*Konstanten!$B$1*dichte('Gegenstrom Reihe'!B20)/wlf('Gegenstrom Reihe'!B20)</f>
        <v>5.1331816839464661</v>
      </c>
      <c r="G20" s="30">
        <f t="shared" si="0"/>
        <v>131.85580981010509</v>
      </c>
      <c r="H20" s="24" cm="1">
        <f t="array" ref="H20">G20/Konstanten!$F$5*wlf(B20)</f>
        <v>8.144999864266584</v>
      </c>
      <c r="I20" s="42"/>
    </row>
    <row r="21" spans="1:9" x14ac:dyDescent="0.25">
      <c r="A21" s="47" t="s">
        <v>43</v>
      </c>
      <c r="B21" s="10">
        <v>36.75</v>
      </c>
      <c r="C21" s="10" t="s">
        <v>35</v>
      </c>
      <c r="D21" s="35" cm="1">
        <f t="array" ref="D21">dichte(B21)</f>
        <v>991.91875000000005</v>
      </c>
      <c r="E21" s="34" cm="1">
        <f t="array" ref="E21">Konstanten!$F$4*'Gegenstrom Reihe'!$F$3/kinv('Gegenstrom Reihe'!B21)</f>
        <v>5391.532976259964</v>
      </c>
      <c r="F21" s="36" cm="1">
        <f t="array" ref="F21">kinv(B21)*Konstanten!$B$1*dichte('Gegenstrom Reihe'!B21)/wlf('Gegenstrom Reihe'!B21)</f>
        <v>4.6798504596493586</v>
      </c>
      <c r="G21" s="33">
        <f t="shared" si="0"/>
        <v>41.227826431729561</v>
      </c>
      <c r="H21" s="35" cm="1">
        <f t="array" ref="H21">G21/Konstanten!$F$4*wlf(B21)</f>
        <v>8.5701245733443194</v>
      </c>
      <c r="I21" s="40">
        <f>1/((1/(H23*0.01))+((1/(2*0.015))*LN(0.013/0.01))+(1/(H17*0.013)))</f>
        <v>3.4751601494854477E-2</v>
      </c>
    </row>
    <row r="22" spans="1:9" x14ac:dyDescent="0.25">
      <c r="A22" s="48" t="s">
        <v>45</v>
      </c>
      <c r="B22" s="4">
        <v>49.68</v>
      </c>
      <c r="C22" s="4" t="s">
        <v>35</v>
      </c>
      <c r="D22" s="22" cm="1">
        <f t="array" ref="D22">dichte(B22)</f>
        <v>987.07</v>
      </c>
      <c r="E22" s="34" cm="1">
        <f t="array" ref="E22">Konstanten!$F$4*'Gegenstrom Reihe'!$F$3/kinv('Gegenstrom Reihe'!B22)</f>
        <v>6835.7663914698533</v>
      </c>
      <c r="F22" s="37" cm="1">
        <f t="array" ref="F22">kinv(B22)*Konstanten!$B$1*dichte('Gegenstrom Reihe'!B22)/wlf('Gegenstrom Reihe'!B22)</f>
        <v>3.5759909859544758</v>
      </c>
      <c r="G22" s="27">
        <f t="shared" si="0"/>
        <v>44.762689460450602</v>
      </c>
      <c r="H22" s="22" cm="1">
        <f t="array" ref="H22">G22/Konstanten!$F$4*wlf(B22)</f>
        <v>9.5575226208710404</v>
      </c>
      <c r="I22" s="41"/>
    </row>
    <row r="23" spans="1:9" x14ac:dyDescent="0.25">
      <c r="A23" s="46" t="s">
        <v>47</v>
      </c>
      <c r="B23" s="4">
        <v>36.71</v>
      </c>
      <c r="C23" s="4" t="s">
        <v>35</v>
      </c>
      <c r="D23" s="22" cm="1">
        <f t="array" ref="D23">dichte(B23)</f>
        <v>991.93375000000003</v>
      </c>
      <c r="E23" s="34" cm="1">
        <f t="array" ref="E23">Konstanten!$F$4*'Gegenstrom Reihe'!$F$3/kinv('Gegenstrom Reihe'!B23)</f>
        <v>5387.2620129494362</v>
      </c>
      <c r="F23" s="37" cm="1">
        <f t="array" ref="F23">kinv(B23)*Konstanten!$B$1*dichte('Gegenstrom Reihe'!B23)/wlf('Gegenstrom Reihe'!B23)</f>
        <v>4.6840610158808103</v>
      </c>
      <c r="G23" s="27">
        <f t="shared" si="0"/>
        <v>41.216521093434828</v>
      </c>
      <c r="H23" s="22" cm="1">
        <f t="array" ref="H23">G23/Konstanten!$F$4*wlf(B23)</f>
        <v>8.5669887187613085</v>
      </c>
      <c r="I23" s="41"/>
    </row>
    <row r="24" spans="1:9" x14ac:dyDescent="0.25">
      <c r="A24" s="45" t="s">
        <v>49</v>
      </c>
      <c r="B24" s="19">
        <v>16.100000000000001</v>
      </c>
      <c r="C24" s="19" t="s">
        <v>35</v>
      </c>
      <c r="D24" s="24" cm="1">
        <f t="array" ref="D24">dichte(B24)</f>
        <v>999.66250000000002</v>
      </c>
      <c r="E24" s="38" cm="1">
        <f t="array" ref="E24">Konstanten!$F$4*'Gegenstrom Reihe'!$F$3/kinv('Gegenstrom Reihe'!B24)</f>
        <v>3414.1570244945387</v>
      </c>
      <c r="F24" s="39" cm="1">
        <f t="array" ref="F24">kinv(B24)*Konstanten!$B$1*dichte('Gegenstrom Reihe'!B24)/wlf('Gegenstrom Reihe'!B24)</f>
        <v>7.8705580196103426</v>
      </c>
      <c r="G24" s="30">
        <f>0.023*(E24^2*F24)^0.4</f>
        <v>35.21736342286836</v>
      </c>
      <c r="H24" s="24" cm="1">
        <f t="array" ref="H24">G24/Konstanten!$F$4*wlf(B24)</f>
        <v>6.9276519684316238</v>
      </c>
      <c r="I24" s="42"/>
    </row>
    <row r="25" spans="1:9" x14ac:dyDescent="0.25">
      <c r="A25" s="2"/>
      <c r="B25" s="2"/>
      <c r="C25" s="2"/>
      <c r="D25" s="2"/>
      <c r="F25" s="6"/>
      <c r="H25" s="5"/>
    </row>
    <row r="26" spans="1:9" x14ac:dyDescent="0.25">
      <c r="A26" s="2"/>
      <c r="B26" s="2"/>
      <c r="C26" s="2"/>
      <c r="D26" s="2"/>
      <c r="F26" s="6"/>
      <c r="H26" s="5"/>
    </row>
    <row r="27" spans="1:9" x14ac:dyDescent="0.25">
      <c r="A27" s="2" t="s">
        <v>59</v>
      </c>
      <c r="B27" s="2" t="s">
        <v>60</v>
      </c>
      <c r="C27" s="1">
        <v>0.98099999999999998</v>
      </c>
      <c r="D27" s="2" t="s">
        <v>14</v>
      </c>
      <c r="F27" s="6"/>
      <c r="H27" s="5"/>
    </row>
    <row r="28" spans="1:9" x14ac:dyDescent="0.25">
      <c r="A28">
        <v>0.69</v>
      </c>
      <c r="B28" t="s">
        <v>60</v>
      </c>
      <c r="C28" s="8">
        <f>C27*A28</f>
        <v>0.67688999999999988</v>
      </c>
      <c r="F28" s="6"/>
      <c r="H28" s="5"/>
    </row>
    <row r="31" spans="1:9" x14ac:dyDescent="0.25">
      <c r="B31" s="9" t="s">
        <v>63</v>
      </c>
      <c r="C31" s="10" t="s">
        <v>66</v>
      </c>
      <c r="D31" s="10" t="s">
        <v>70</v>
      </c>
      <c r="E31" s="10" t="s">
        <v>73</v>
      </c>
      <c r="F31" s="10" t="s">
        <v>72</v>
      </c>
      <c r="G31" s="11" t="s">
        <v>75</v>
      </c>
    </row>
    <row r="32" spans="1:9" x14ac:dyDescent="0.25">
      <c r="B32" s="12">
        <f>$D$4*Konstanten!$B$1*('Gegenstrom Reihe'!$B$18*$D$18-'Gegenstrom Reihe'!$B$20*$D$20)</f>
        <v>12.159966437069063</v>
      </c>
      <c r="C32" s="13">
        <f>('Gegenstrom Reihe'!B18*D18-'Gegenstrom Reihe'!B20*D20)*(D4+C39)*Konstanten!B1</f>
        <v>12.056785441333458</v>
      </c>
      <c r="D32" s="13">
        <f>D4*Konstanten!B1*('Gegenstrom Reihe'!B19*D19-B20*D20)</f>
        <v>7.4500751145043118</v>
      </c>
      <c r="E32" s="13">
        <f>(D4+E39)*Konstanten!B1*('Gegenstrom Reihe'!B19*D19-B20*D20)</f>
        <v>7.4067277305269457</v>
      </c>
      <c r="F32" s="13">
        <f>$D$4*Konstanten!$B$1*('Gegenstrom Reihe'!$B$18*D18-$B$17*D17)</f>
        <v>4.6991748678600009</v>
      </c>
      <c r="G32" s="14">
        <f>($D$4+G39)*Konstanten!$B$1*('Gegenstrom Reihe'!$B$18*D18-$B$17*D17)</f>
        <v>4.6377231120040907</v>
      </c>
    </row>
    <row r="33" spans="2:7" x14ac:dyDescent="0.25">
      <c r="B33" s="15"/>
      <c r="C33" s="4"/>
      <c r="D33" s="4"/>
      <c r="E33" s="4"/>
      <c r="F33" s="4"/>
      <c r="G33" s="16"/>
    </row>
    <row r="34" spans="2:7" x14ac:dyDescent="0.25">
      <c r="B34" s="15"/>
      <c r="C34" s="4"/>
      <c r="D34" s="4"/>
      <c r="E34" s="4"/>
      <c r="F34" s="4"/>
      <c r="G34" s="16"/>
    </row>
    <row r="35" spans="2:7" x14ac:dyDescent="0.25">
      <c r="B35" s="15" t="s">
        <v>64</v>
      </c>
      <c r="C35" s="4" t="s">
        <v>65</v>
      </c>
      <c r="D35" s="4" t="s">
        <v>71</v>
      </c>
      <c r="E35" s="4" t="s">
        <v>73</v>
      </c>
      <c r="F35" s="4" t="s">
        <v>74</v>
      </c>
      <c r="G35" s="16" t="s">
        <v>75</v>
      </c>
    </row>
    <row r="36" spans="2:7" x14ac:dyDescent="0.25">
      <c r="B36" s="12">
        <f>-$D$3*Konstanten!B1*('Gegenstrom Reihe'!B24*D24-'Gegenstrom Reihe'!B22*D22)</f>
        <v>11.902496394111747</v>
      </c>
      <c r="C36" s="13">
        <f>-($D$3-C39)*Konstanten!B1*('Gegenstrom Reihe'!B24*D24-'Gegenstrom Reihe'!B22*D22)</f>
        <v>12.056785441333462</v>
      </c>
      <c r="D36" s="13">
        <f>D3*Konstanten!B1*('Gegenstrom Reihe'!B23*D23-B24*D24)</f>
        <v>7.3414725313348113</v>
      </c>
      <c r="E36" s="13">
        <f>(D3-E39)*Konstanten!B1*('Gegenstrom Reihe'!B23*D23-B24*D24)</f>
        <v>7.406727730526943</v>
      </c>
      <c r="F36" s="13">
        <f>$D$3*Konstanten!$B$1*('Gegenstrom Reihe'!$B$22*D22-$B$21*D21)</f>
        <v>4.5468874072164374</v>
      </c>
      <c r="G36" s="14">
        <f>($D$3-G39)*Konstanten!$B$1*('Gegenstrom Reihe'!$B$22*D22-$B$21*D21)</f>
        <v>4.6377231120040898</v>
      </c>
    </row>
    <row r="37" spans="2:7" x14ac:dyDescent="0.25">
      <c r="B37" s="15"/>
      <c r="C37" s="4"/>
      <c r="D37" s="13"/>
      <c r="E37" s="4"/>
      <c r="F37" s="13"/>
      <c r="G37" s="16"/>
    </row>
    <row r="38" spans="2:7" x14ac:dyDescent="0.25">
      <c r="B38" s="15"/>
      <c r="C38" s="4" t="s">
        <v>67</v>
      </c>
      <c r="D38" s="13"/>
      <c r="E38" s="4" t="s">
        <v>67</v>
      </c>
      <c r="F38" s="13"/>
      <c r="G38" s="16" t="s">
        <v>67</v>
      </c>
    </row>
    <row r="39" spans="2:7" x14ac:dyDescent="0.25">
      <c r="B39" s="15"/>
      <c r="C39" s="4">
        <v>-1.1191171416833384E-6</v>
      </c>
      <c r="D39" s="4"/>
      <c r="E39" s="27">
        <v>-7.6737995538927895E-7</v>
      </c>
      <c r="F39" s="4"/>
      <c r="G39" s="16">
        <v>-1.7247291339464923E-6</v>
      </c>
    </row>
    <row r="40" spans="2:7" x14ac:dyDescent="0.25">
      <c r="B40" s="15"/>
      <c r="C40" s="4" t="s">
        <v>68</v>
      </c>
      <c r="D40" s="4"/>
      <c r="E40" s="4" t="s">
        <v>68</v>
      </c>
      <c r="F40" s="4"/>
      <c r="G40" s="16" t="s">
        <v>68</v>
      </c>
    </row>
    <row r="41" spans="2:7" x14ac:dyDescent="0.25">
      <c r="B41" s="17"/>
      <c r="C41" s="18">
        <f>C32-C36</f>
        <v>0</v>
      </c>
      <c r="D41" s="19"/>
      <c r="E41" s="18">
        <f>E32-E36</f>
        <v>0</v>
      </c>
      <c r="F41" s="19"/>
      <c r="G41" s="20">
        <f>G32-G36</f>
        <v>0</v>
      </c>
    </row>
  </sheetData>
  <phoneticPr fontId="3" type="noConversion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D5A0C-D27B-4EA7-A251-37FAFDB6A959}">
  <dimension ref="A1:L34"/>
  <sheetViews>
    <sheetView topLeftCell="A14" workbookViewId="0">
      <selection activeCell="A35" sqref="A35"/>
    </sheetView>
  </sheetViews>
  <sheetFormatPr baseColWidth="10" defaultRowHeight="15" x14ac:dyDescent="0.25"/>
  <cols>
    <col min="1" max="1" width="13.140625" bestFit="1" customWidth="1"/>
    <col min="2" max="2" width="13.7109375" bestFit="1" customWidth="1"/>
    <col min="3" max="3" width="18.7109375" bestFit="1" customWidth="1"/>
    <col min="4" max="4" width="21" bestFit="1" customWidth="1"/>
    <col min="5" max="5" width="19.85546875" bestFit="1" customWidth="1"/>
    <col min="6" max="6" width="14" bestFit="1" customWidth="1"/>
    <col min="7" max="7" width="10" bestFit="1" customWidth="1"/>
    <col min="8" max="8" width="9.140625" bestFit="1" customWidth="1"/>
    <col min="9" max="10" width="9" bestFit="1" customWidth="1"/>
    <col min="11" max="11" width="9.28515625" bestFit="1" customWidth="1"/>
    <col min="12" max="12" width="10" bestFit="1" customWidth="1"/>
    <col min="13" max="13" width="14.140625" bestFit="1" customWidth="1"/>
    <col min="14" max="14" width="15.140625" bestFit="1" customWidth="1"/>
    <col min="15" max="15" width="17.5703125" bestFit="1" customWidth="1"/>
  </cols>
  <sheetData>
    <row r="1" spans="1:12" x14ac:dyDescent="0.25">
      <c r="F1" s="4"/>
      <c r="G1" s="4"/>
      <c r="H1" s="4"/>
      <c r="I1" s="4"/>
      <c r="J1" s="4"/>
      <c r="K1" s="4"/>
    </row>
    <row r="2" spans="1:12" s="1" customFormat="1" x14ac:dyDescent="0.25">
      <c r="A2" s="55" t="s">
        <v>109</v>
      </c>
      <c r="B2" s="55" t="s">
        <v>114</v>
      </c>
      <c r="C2" s="55" t="s">
        <v>115</v>
      </c>
      <c r="D2" s="1" t="s">
        <v>62</v>
      </c>
    </row>
    <row r="3" spans="1:12" x14ac:dyDescent="0.25">
      <c r="A3" s="56" t="s">
        <v>110</v>
      </c>
      <c r="B3" s="58">
        <v>55.38</v>
      </c>
      <c r="C3" s="4">
        <v>1.03</v>
      </c>
      <c r="D3" s="6" cm="1">
        <f t="array" ref="D3">dichte(B3)</f>
        <v>984.9325</v>
      </c>
    </row>
    <row r="4" spans="1:12" x14ac:dyDescent="0.25">
      <c r="A4" s="56" t="s">
        <v>111</v>
      </c>
      <c r="B4" s="58">
        <v>46.58</v>
      </c>
      <c r="C4" s="4">
        <v>0.69</v>
      </c>
      <c r="D4" s="6" cm="1">
        <f t="array" ref="D4">dichte(B4)</f>
        <v>988.23250000000007</v>
      </c>
    </row>
    <row r="5" spans="1:12" x14ac:dyDescent="0.25">
      <c r="A5" s="56" t="s">
        <v>113</v>
      </c>
      <c r="B5" s="58">
        <v>46.56</v>
      </c>
      <c r="C5" s="4">
        <v>0.5</v>
      </c>
      <c r="D5" s="6" cm="1">
        <f t="array" ref="D5">dichte(B5)</f>
        <v>988.24</v>
      </c>
    </row>
    <row r="6" spans="1:12" x14ac:dyDescent="0.25">
      <c r="A6" s="56" t="s">
        <v>112</v>
      </c>
      <c r="B6" s="58">
        <v>32.729999999999997</v>
      </c>
      <c r="C6" s="4">
        <v>0.215</v>
      </c>
      <c r="D6" s="6" cm="1">
        <f t="array" ref="D6">dichte(B6)</f>
        <v>993.4262500000001</v>
      </c>
      <c r="F6" s="4"/>
      <c r="G6" s="4"/>
      <c r="H6" s="4"/>
      <c r="I6" s="4"/>
      <c r="J6" s="4"/>
      <c r="K6" s="4"/>
    </row>
    <row r="7" spans="1:12" x14ac:dyDescent="0.25">
      <c r="A7" s="57" t="s">
        <v>110</v>
      </c>
      <c r="B7" s="58">
        <v>16.100000000000001</v>
      </c>
      <c r="C7" s="4">
        <v>2.2999999999999998</v>
      </c>
      <c r="D7" s="6" cm="1">
        <f t="array" ref="D7">dichte(B7)</f>
        <v>999.66250000000002</v>
      </c>
      <c r="E7" s="2"/>
      <c r="F7" s="13"/>
      <c r="G7" s="13"/>
      <c r="H7" s="13"/>
      <c r="I7" s="13"/>
      <c r="J7" s="13"/>
      <c r="K7" s="13"/>
    </row>
    <row r="8" spans="1:12" x14ac:dyDescent="0.25">
      <c r="A8" s="57" t="s">
        <v>113</v>
      </c>
      <c r="B8" s="58">
        <v>36.71</v>
      </c>
      <c r="C8" s="4">
        <v>0.9</v>
      </c>
      <c r="D8" s="6" cm="1">
        <f t="array" ref="D8">dichte(B8)</f>
        <v>991.93375000000003</v>
      </c>
      <c r="F8" s="4"/>
      <c r="G8" s="4"/>
      <c r="H8" s="13"/>
      <c r="I8" s="4"/>
      <c r="J8" s="13"/>
      <c r="K8" s="4"/>
    </row>
    <row r="9" spans="1:12" x14ac:dyDescent="0.25">
      <c r="A9" s="57" t="s">
        <v>111</v>
      </c>
      <c r="B9" s="58">
        <v>36.75</v>
      </c>
      <c r="C9" s="4">
        <v>1.3</v>
      </c>
      <c r="D9" s="6" cm="1">
        <f t="array" ref="D9">dichte(B9)</f>
        <v>991.91875000000005</v>
      </c>
      <c r="F9" s="4"/>
      <c r="G9" s="4"/>
      <c r="H9" s="13"/>
      <c r="I9" s="4"/>
      <c r="J9" s="13"/>
      <c r="K9" s="4"/>
    </row>
    <row r="10" spans="1:12" x14ac:dyDescent="0.25">
      <c r="A10" s="57" t="s">
        <v>112</v>
      </c>
      <c r="B10" s="58">
        <v>49.68</v>
      </c>
      <c r="C10" s="4">
        <v>6.5000000000000002E-2</v>
      </c>
      <c r="D10" s="6" cm="1">
        <f t="array" ref="D10">dichte(B10)</f>
        <v>987.07</v>
      </c>
      <c r="F10" s="4"/>
      <c r="G10" s="4"/>
      <c r="H10" s="4"/>
      <c r="I10" s="4"/>
      <c r="J10" s="4"/>
      <c r="K10" s="4"/>
    </row>
    <row r="11" spans="1:12" x14ac:dyDescent="0.25">
      <c r="A11" s="4"/>
      <c r="B11" s="4"/>
      <c r="C11" s="4"/>
      <c r="D11" s="4"/>
      <c r="F11" s="4"/>
      <c r="G11" s="4"/>
      <c r="H11" s="4"/>
      <c r="I11" s="4"/>
      <c r="J11" s="4"/>
      <c r="K11" s="4"/>
    </row>
    <row r="12" spans="1:12" x14ac:dyDescent="0.25">
      <c r="B12" s="59" t="s">
        <v>117</v>
      </c>
      <c r="C12" s="1" t="s">
        <v>121</v>
      </c>
      <c r="D12" s="1" t="s">
        <v>116</v>
      </c>
      <c r="E12" s="1" t="s">
        <v>93</v>
      </c>
      <c r="F12" s="4"/>
      <c r="G12" s="13"/>
      <c r="H12" s="4"/>
      <c r="I12" s="13"/>
      <c r="J12" s="4"/>
      <c r="K12" s="13"/>
    </row>
    <row r="13" spans="1:12" x14ac:dyDescent="0.25">
      <c r="A13" s="56" t="s">
        <v>118</v>
      </c>
      <c r="B13">
        <f>Konstanten!D5</f>
        <v>7.8539816339744827E-5</v>
      </c>
      <c r="C13">
        <f>Konstanten!F5</f>
        <v>0.01</v>
      </c>
      <c r="D13" s="5">
        <f>'Gegenstrom Reihe'!$D$4</f>
        <v>1.3188888888888888E-4</v>
      </c>
      <c r="E13" s="6">
        <f>D13/B13</f>
        <v>1.6792614884451533</v>
      </c>
    </row>
    <row r="14" spans="1:12" x14ac:dyDescent="0.25">
      <c r="A14" s="57" t="s">
        <v>120</v>
      </c>
      <c r="B14">
        <f>Konstanten!D4</f>
        <v>6.8329640215577996E-5</v>
      </c>
      <c r="C14">
        <f>Konstanten!F4</f>
        <v>3.0000000000000001E-3</v>
      </c>
      <c r="D14" s="27">
        <f>'Gegenstrom Reihe'!$D$3</f>
        <v>8.6333333333333322E-5</v>
      </c>
      <c r="E14" s="6">
        <f>D14/B14</f>
        <v>1.2634829198712916</v>
      </c>
    </row>
    <row r="15" spans="1:12" x14ac:dyDescent="0.25">
      <c r="D15" s="27"/>
    </row>
    <row r="16" spans="1:12" x14ac:dyDescent="0.25">
      <c r="A16" s="55" t="s">
        <v>122</v>
      </c>
      <c r="B16" s="61" t="s">
        <v>131</v>
      </c>
      <c r="C16" s="62" t="s">
        <v>126</v>
      </c>
      <c r="D16" s="62" t="s">
        <v>127</v>
      </c>
      <c r="E16" s="62" t="s">
        <v>128</v>
      </c>
      <c r="F16" s="62" t="s">
        <v>129</v>
      </c>
      <c r="G16" s="63" t="s">
        <v>130</v>
      </c>
      <c r="H16" s="59"/>
      <c r="I16" s="59"/>
      <c r="J16" s="59"/>
      <c r="K16" s="59"/>
      <c r="L16" s="59"/>
    </row>
    <row r="17" spans="1:11" x14ac:dyDescent="0.25">
      <c r="A17" s="13" t="s">
        <v>123</v>
      </c>
      <c r="B17" s="64">
        <f>'Gegenstrom Reihe'!B32</f>
        <v>12.159966437069063</v>
      </c>
      <c r="C17" s="37">
        <f>'Gegenstrom Reihe'!B36</f>
        <v>11.902496394111747</v>
      </c>
      <c r="D17" s="27">
        <f>'Gegenstrom Reihe'!C39</f>
        <v>-1.1191171416833384E-6</v>
      </c>
      <c r="E17" s="37">
        <f>'Gegenstrom Reihe'!C32</f>
        <v>12.056785441333458</v>
      </c>
      <c r="F17" s="37">
        <f>E17</f>
        <v>12.056785441333458</v>
      </c>
      <c r="G17" s="22">
        <v>0</v>
      </c>
      <c r="H17" s="34"/>
    </row>
    <row r="18" spans="1:11" x14ac:dyDescent="0.25">
      <c r="A18" s="4" t="s">
        <v>125</v>
      </c>
      <c r="B18" s="64">
        <f>'Gegenstrom Reihe'!D32</f>
        <v>7.4500751145043118</v>
      </c>
      <c r="C18" s="37">
        <f>'Gegenstrom Reihe'!D36</f>
        <v>7.3414725313348113</v>
      </c>
      <c r="D18" s="27">
        <f>'Gegenstrom Reihe'!E39</f>
        <v>-7.6737995538927895E-7</v>
      </c>
      <c r="E18" s="37">
        <f>'Gegenstrom Reihe'!E32</f>
        <v>7.4067277305269457</v>
      </c>
      <c r="F18" s="37">
        <f>E18</f>
        <v>7.4067277305269457</v>
      </c>
      <c r="G18" s="22">
        <v>0</v>
      </c>
      <c r="H18" s="34"/>
    </row>
    <row r="19" spans="1:11" x14ac:dyDescent="0.25">
      <c r="A19" s="4" t="s">
        <v>124</v>
      </c>
      <c r="B19" s="65">
        <f>'Gegenstrom Reihe'!F32</f>
        <v>4.6991748678600009</v>
      </c>
      <c r="C19" s="39">
        <f>'Gegenstrom Reihe'!F36</f>
        <v>4.5468874072164374</v>
      </c>
      <c r="D19" s="30">
        <f>'Gegenstrom Reihe'!G39</f>
        <v>-1.7247291339464923E-6</v>
      </c>
      <c r="E19" s="39">
        <f>'Gegenstrom Reihe'!G32</f>
        <v>4.6377231120040907</v>
      </c>
      <c r="F19" s="39">
        <f>E19</f>
        <v>4.6377231120040907</v>
      </c>
      <c r="G19" s="24">
        <v>0</v>
      </c>
    </row>
    <row r="20" spans="1:11" x14ac:dyDescent="0.25">
      <c r="D20" s="27"/>
    </row>
    <row r="22" spans="1:11" x14ac:dyDescent="0.25">
      <c r="A22" s="55" t="s">
        <v>134</v>
      </c>
      <c r="B22" s="59" t="s">
        <v>133</v>
      </c>
      <c r="C22" s="59" t="s">
        <v>87</v>
      </c>
      <c r="D22" s="59" t="s">
        <v>141</v>
      </c>
      <c r="E22" s="59" t="s">
        <v>142</v>
      </c>
      <c r="F22" s="59" t="s">
        <v>88</v>
      </c>
      <c r="G22" s="59" t="s">
        <v>97</v>
      </c>
      <c r="H22" s="59" t="s">
        <v>98</v>
      </c>
      <c r="I22" s="59" t="s">
        <v>132</v>
      </c>
      <c r="J22" s="59" t="s">
        <v>100</v>
      </c>
      <c r="K22" s="4"/>
    </row>
    <row r="23" spans="1:11" x14ac:dyDescent="0.25">
      <c r="A23" s="4" t="s">
        <v>139</v>
      </c>
      <c r="B23" s="37">
        <f>'Gegenstrom Reihe'!E7</f>
        <v>0.81500000000000006</v>
      </c>
      <c r="C23" s="27">
        <f>B23*$D$13*10^5/1000</f>
        <v>1.0748944444444446E-2</v>
      </c>
      <c r="D23" s="27">
        <f>C23/0.8</f>
        <v>1.3436180555555557E-2</v>
      </c>
      <c r="E23" s="60">
        <f>$E$17/D23</f>
        <v>897.33725975781488</v>
      </c>
      <c r="F23" s="66" t="s">
        <v>143</v>
      </c>
      <c r="G23" s="66" t="s">
        <v>143</v>
      </c>
      <c r="H23" s="66" t="s">
        <v>143</v>
      </c>
      <c r="I23" s="66" t="s">
        <v>143</v>
      </c>
      <c r="J23" s="66" t="s">
        <v>143</v>
      </c>
      <c r="K23" s="4"/>
    </row>
    <row r="24" spans="1:11" x14ac:dyDescent="0.25">
      <c r="A24" s="4" t="s">
        <v>140</v>
      </c>
      <c r="B24" s="37">
        <f>'Gegenstrom Reihe'!E8</f>
        <v>2.2349999999999999</v>
      </c>
      <c r="C24" s="27">
        <f>B24*$D$14*10^5/1000</f>
        <v>1.9295499999999997E-2</v>
      </c>
      <c r="D24" s="27">
        <f t="shared" ref="D24:D28" si="0">C24/0.8</f>
        <v>2.4119374999999995E-2</v>
      </c>
      <c r="E24" s="60">
        <f>$E$17/D24</f>
        <v>499.87967935875042</v>
      </c>
      <c r="F24" s="66" t="s">
        <v>143</v>
      </c>
      <c r="G24" s="66" t="s">
        <v>143</v>
      </c>
      <c r="H24" s="66" t="s">
        <v>143</v>
      </c>
      <c r="I24" s="66" t="s">
        <v>143</v>
      </c>
      <c r="J24" s="66" t="s">
        <v>143</v>
      </c>
      <c r="K24" s="4"/>
    </row>
    <row r="25" spans="1:11" x14ac:dyDescent="0.25">
      <c r="A25" s="4" t="s">
        <v>135</v>
      </c>
      <c r="B25" s="37">
        <f>'Gegenstrom Reihe'!I7</f>
        <v>0.28500000000000003</v>
      </c>
      <c r="C25" s="27">
        <f>B25*$D$13*10^5/1000</f>
        <v>3.7588333333333336E-3</v>
      </c>
      <c r="D25" s="27">
        <f t="shared" si="0"/>
        <v>4.6985416666666668E-3</v>
      </c>
      <c r="E25" s="60">
        <f>$E$18/D25</f>
        <v>1576.388644815738</v>
      </c>
      <c r="F25" s="67" cm="1">
        <f t="array" ref="F25">Konstanten!$F$5*$E$13/kinv(B6)</f>
        <v>22017.65056808342</v>
      </c>
      <c r="G25" s="37" cm="1">
        <f t="array" ref="G25">kinv(B6)*Konstanten!$B$1*dichte(B6)/wlf(B6)</f>
        <v>5.1331816839464661</v>
      </c>
      <c r="H25" s="27">
        <f>0.023*(F25^2*G25)^0.4</f>
        <v>131.85580981010509</v>
      </c>
      <c r="I25" s="37" cm="1">
        <f t="array" ref="I25">H25/Konstanten!$F$5*wlf(B6)</f>
        <v>8.144999864266584</v>
      </c>
      <c r="J25" s="4">
        <f>1/((1/(I25*0.01))+((1/(2*0.015))*LN(0.013/0.01))+(1/(I26*0.013)))</f>
        <v>3.1126738288833288E-2</v>
      </c>
      <c r="K25" s="4"/>
    </row>
    <row r="26" spans="1:11" x14ac:dyDescent="0.25">
      <c r="A26" s="4" t="s">
        <v>136</v>
      </c>
      <c r="B26" s="37">
        <f>'Gegenstrom Reihe'!I8</f>
        <v>20.61</v>
      </c>
      <c r="C26" s="27">
        <f>B26*$D$14*10^5/1000</f>
        <v>0.17793299999999995</v>
      </c>
      <c r="D26" s="27">
        <f t="shared" si="0"/>
        <v>0.22241624999999993</v>
      </c>
      <c r="E26" s="60">
        <f>$E$18/D26</f>
        <v>33.301198678275298</v>
      </c>
      <c r="F26" s="67" cm="1">
        <f t="array" ref="F26">Konstanten!$F$4*$E$14/kinv(B7)</f>
        <v>3414.1570244945387</v>
      </c>
      <c r="G26" s="37" cm="1">
        <f t="array" ref="G26">kinv(B7)*Konstanten!$B$1*dichte(B7)/wlf(B7)</f>
        <v>7.8705580196103426</v>
      </c>
      <c r="H26" s="27">
        <f t="shared" ref="H26:H28" si="1">0.023*(F26^2*G26)^0.4</f>
        <v>35.21736342286836</v>
      </c>
      <c r="I26" s="37" cm="1">
        <f t="array" ref="I26">H26/Konstanten!$F$4*wlf(B7)</f>
        <v>6.9276519684316238</v>
      </c>
      <c r="J26" s="4"/>
      <c r="K26" s="4"/>
    </row>
    <row r="27" spans="1:11" x14ac:dyDescent="0.25">
      <c r="A27" s="4" t="s">
        <v>137</v>
      </c>
      <c r="B27" s="37">
        <f>'Gegenstrom Reihe'!L7</f>
        <v>0.35340000000000005</v>
      </c>
      <c r="C27" s="27">
        <f>B27*$D$13*10^5/1000</f>
        <v>4.6609533333333338E-3</v>
      </c>
      <c r="D27" s="27">
        <f t="shared" si="0"/>
        <v>5.8261916666666668E-3</v>
      </c>
      <c r="E27" s="60">
        <f>$E$19/D27</f>
        <v>796.01279486527199</v>
      </c>
      <c r="F27" s="67" cm="1">
        <f t="array" ref="F27">Konstanten!$F$5*$E$13/kinv(B4)</f>
        <v>28707.033036332701</v>
      </c>
      <c r="G27" s="37" cm="1">
        <f t="array" ref="G27">kinv(B4)*Konstanten!$B$1*dichte(B4)/wlf(B4)</f>
        <v>3.7992825509641848</v>
      </c>
      <c r="H27" s="27">
        <f t="shared" si="1"/>
        <v>144.54368435855042</v>
      </c>
      <c r="I27" s="37" cm="1">
        <f t="array" ref="I27">H27/Konstanten!$F$5*wlf(B4)</f>
        <v>9.204117225213265</v>
      </c>
      <c r="J27" s="4">
        <f>1/((1/(I27*0.01))+((1/(2*0.015))*LN(0.013/0.01))+(1/(I28*0.013)))</f>
        <v>3.497825769274137E-2</v>
      </c>
      <c r="K27" s="4"/>
    </row>
    <row r="28" spans="1:11" x14ac:dyDescent="0.25">
      <c r="A28" s="4" t="s">
        <v>138</v>
      </c>
      <c r="B28" s="37">
        <f>'Gegenstrom Reihe'!L8</f>
        <v>12.93</v>
      </c>
      <c r="C28" s="27">
        <f>B28*$D$14*10^5/1000</f>
        <v>0.11162899999999998</v>
      </c>
      <c r="D28" s="27">
        <f t="shared" si="0"/>
        <v>0.13953624999999997</v>
      </c>
      <c r="E28" s="60">
        <f>$E$19/D28</f>
        <v>33.236690193437845</v>
      </c>
      <c r="F28" s="67" cm="1">
        <f t="array" ref="F28">Konstanten!$F$4*$E$14/kinv(B8)</f>
        <v>5387.2620129494362</v>
      </c>
      <c r="G28" s="37" cm="1">
        <f t="array" ref="G28">kinv(B8)*Konstanten!$B$1*dichte(B8)/wlf(B8)</f>
        <v>4.6840610158808103</v>
      </c>
      <c r="H28" s="27">
        <f t="shared" si="1"/>
        <v>41.216521093434828</v>
      </c>
      <c r="I28" s="37" cm="1">
        <f t="array" ref="I28">H28/Konstanten!$F$4*wlf(B8)</f>
        <v>8.5669887187613085</v>
      </c>
      <c r="J28" s="4"/>
      <c r="K28" s="4"/>
    </row>
    <row r="30" spans="1:11" x14ac:dyDescent="0.25">
      <c r="A30" t="s">
        <v>154</v>
      </c>
      <c r="B30" t="s">
        <v>155</v>
      </c>
      <c r="C30" t="s">
        <v>119</v>
      </c>
    </row>
    <row r="31" spans="1:11" x14ac:dyDescent="0.25">
      <c r="A31" s="2">
        <v>0</v>
      </c>
      <c r="B31" s="68">
        <f>B3</f>
        <v>55.38</v>
      </c>
      <c r="C31" s="68">
        <f>B10</f>
        <v>49.68</v>
      </c>
    </row>
    <row r="32" spans="1:11" x14ac:dyDescent="0.25">
      <c r="A32" s="2">
        <f>A34/2</f>
        <v>7.5</v>
      </c>
      <c r="B32" s="68">
        <f>B4</f>
        <v>46.58</v>
      </c>
      <c r="C32" s="68">
        <f>B9</f>
        <v>36.75</v>
      </c>
    </row>
    <row r="33" spans="1:3" x14ac:dyDescent="0.25">
      <c r="A33" s="2">
        <f>A32+0.01</f>
        <v>7.51</v>
      </c>
      <c r="B33" s="68">
        <f>B5</f>
        <v>46.56</v>
      </c>
      <c r="C33" s="68">
        <f>B8</f>
        <v>36.71</v>
      </c>
    </row>
    <row r="34" spans="1:3" x14ac:dyDescent="0.25">
      <c r="A34" s="2">
        <v>15</v>
      </c>
      <c r="B34" s="68">
        <f>B6</f>
        <v>32.729999999999997</v>
      </c>
      <c r="C34" s="68">
        <f>B7</f>
        <v>16.100000000000001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543AE-78B9-4BF3-9BA9-765D5F522C20}">
  <sheetPr codeName="Tabelle4"/>
  <dimension ref="A1:L37"/>
  <sheetViews>
    <sheetView topLeftCell="A6" zoomScale="70" zoomScaleNormal="70" workbookViewId="0">
      <selection activeCell="C33" sqref="C33"/>
    </sheetView>
  </sheetViews>
  <sheetFormatPr baseColWidth="10" defaultRowHeight="15" x14ac:dyDescent="0.25"/>
  <cols>
    <col min="1" max="1" width="20.140625" bestFit="1" customWidth="1"/>
    <col min="2" max="2" width="9.85546875" bestFit="1" customWidth="1"/>
    <col min="3" max="3" width="15.5703125" bestFit="1" customWidth="1"/>
    <col min="4" max="4" width="13.7109375" bestFit="1" customWidth="1"/>
    <col min="5" max="5" width="15.5703125" bestFit="1" customWidth="1"/>
    <col min="6" max="6" width="16.85546875" bestFit="1" customWidth="1"/>
    <col min="7" max="7" width="15.5703125" bestFit="1" customWidth="1"/>
    <col min="8" max="8" width="24.42578125" bestFit="1" customWidth="1"/>
    <col min="9" max="9" width="15.5703125" bestFit="1" customWidth="1"/>
    <col min="10" max="10" width="12.5703125" customWidth="1"/>
    <col min="11" max="11" width="21.5703125" bestFit="1" customWidth="1"/>
    <col min="13" max="13" width="15.5703125" bestFit="1" customWidth="1"/>
  </cols>
  <sheetData>
    <row r="1" spans="1:12" x14ac:dyDescent="0.25">
      <c r="A1" s="2" t="s">
        <v>2</v>
      </c>
      <c r="B1" s="2"/>
      <c r="C1" s="2"/>
    </row>
    <row r="2" spans="1:12" x14ac:dyDescent="0.25">
      <c r="A2" s="2"/>
      <c r="B2" s="2"/>
      <c r="C2" s="2"/>
      <c r="F2" t="s">
        <v>92</v>
      </c>
    </row>
    <row r="3" spans="1:12" x14ac:dyDescent="0.25">
      <c r="A3" s="9" t="s">
        <v>4</v>
      </c>
      <c r="B3" s="10">
        <v>8.68</v>
      </c>
      <c r="C3" s="10" t="s">
        <v>5</v>
      </c>
      <c r="D3" s="33">
        <f>B3/1000/60</f>
        <v>1.4466666666666667E-4</v>
      </c>
      <c r="E3" s="11" t="s">
        <v>61</v>
      </c>
      <c r="F3" s="6">
        <f>'Gegenstrom Parallel'!D3/Konstanten!D4</f>
        <v>2.1171875954600026</v>
      </c>
    </row>
    <row r="4" spans="1:12" x14ac:dyDescent="0.25">
      <c r="A4" s="17" t="s">
        <v>8</v>
      </c>
      <c r="B4" s="19">
        <v>522.9</v>
      </c>
      <c r="C4" s="19" t="s">
        <v>7</v>
      </c>
      <c r="D4" s="30">
        <f>B4/1000/3600</f>
        <v>1.4525000000000001E-4</v>
      </c>
      <c r="E4" s="26" t="s">
        <v>61</v>
      </c>
      <c r="F4" s="6">
        <f>D4/Konstanten!D5</f>
        <v>1.8493804387278239</v>
      </c>
    </row>
    <row r="5" spans="1:12" x14ac:dyDescent="0.25">
      <c r="A5" s="2"/>
      <c r="B5" s="2"/>
      <c r="C5" s="2"/>
    </row>
    <row r="6" spans="1:12" x14ac:dyDescent="0.25">
      <c r="A6" s="9" t="s">
        <v>9</v>
      </c>
      <c r="B6" s="10"/>
      <c r="C6" s="10"/>
      <c r="D6" s="10" t="s">
        <v>82</v>
      </c>
      <c r="E6" s="11"/>
      <c r="F6" s="10" t="s">
        <v>107</v>
      </c>
      <c r="G6" s="10"/>
      <c r="H6" s="10" t="s">
        <v>105</v>
      </c>
      <c r="I6" s="10" t="s">
        <v>84</v>
      </c>
      <c r="J6" s="43" t="s">
        <v>108</v>
      </c>
      <c r="K6" s="43" t="s">
        <v>106</v>
      </c>
      <c r="L6" s="11" t="s">
        <v>85</v>
      </c>
    </row>
    <row r="7" spans="1:12" x14ac:dyDescent="0.25">
      <c r="A7" s="15" t="s">
        <v>15</v>
      </c>
      <c r="B7" s="4">
        <v>0.31</v>
      </c>
      <c r="C7" s="4" t="s">
        <v>14</v>
      </c>
      <c r="D7" s="4">
        <f>B7-B8</f>
        <v>1.0000000000000009E-2</v>
      </c>
      <c r="E7" s="16" t="s">
        <v>76</v>
      </c>
      <c r="F7" s="4">
        <f>D7+D9</f>
        <v>5.8000000000000024E-2</v>
      </c>
      <c r="G7" s="4" t="s">
        <v>80</v>
      </c>
      <c r="H7" s="27">
        <f>F7*$D$4/0.8*10^5/1000</f>
        <v>1.0530625000000004E-3</v>
      </c>
      <c r="I7" s="28">
        <f>$C$28/H7</f>
        <v>13228.49153230258</v>
      </c>
      <c r="J7">
        <f>B7-B8</f>
        <v>1.0000000000000009E-2</v>
      </c>
      <c r="K7" s="27">
        <f>J7*$D$4/0.8*10^5/1000</f>
        <v>1.8156250000000016E-4</v>
      </c>
      <c r="L7" s="29">
        <f>$E$28/K7</f>
        <v>77896.052611671999</v>
      </c>
    </row>
    <row r="8" spans="1:12" x14ac:dyDescent="0.25">
      <c r="A8" s="15" t="s">
        <v>18</v>
      </c>
      <c r="B8" s="4">
        <v>0.3</v>
      </c>
      <c r="C8" s="4" t="s">
        <v>14</v>
      </c>
      <c r="D8" s="4"/>
      <c r="E8" s="16"/>
      <c r="F8" s="19">
        <f>D11+D13</f>
        <v>2.2029999999999998</v>
      </c>
      <c r="G8" s="19" t="s">
        <v>81</v>
      </c>
      <c r="H8" s="30">
        <f>F8*$D$3/0.8*10^5/1000</f>
        <v>3.9837583333333329E-2</v>
      </c>
      <c r="I8" s="31">
        <f>$C$28/H8</f>
        <v>349.6805578710738</v>
      </c>
      <c r="J8">
        <f>B14-B12</f>
        <v>1.073</v>
      </c>
      <c r="K8" s="30">
        <f>J8*$D$3/0.8*10^5/1000</f>
        <v>1.9403416666666663E-2</v>
      </c>
      <c r="L8" s="32">
        <f>$E$28/K8</f>
        <v>728.89235412869971</v>
      </c>
    </row>
    <row r="9" spans="1:12" x14ac:dyDescent="0.25">
      <c r="A9" s="15" t="s">
        <v>20</v>
      </c>
      <c r="B9" s="4">
        <v>0.152</v>
      </c>
      <c r="C9" s="4" t="s">
        <v>14</v>
      </c>
      <c r="D9" s="4">
        <f>B10-B9</f>
        <v>4.8000000000000015E-2</v>
      </c>
      <c r="E9" s="16" t="s">
        <v>77</v>
      </c>
    </row>
    <row r="10" spans="1:12" x14ac:dyDescent="0.25">
      <c r="A10" s="15" t="s">
        <v>22</v>
      </c>
      <c r="B10" s="4">
        <v>0.2</v>
      </c>
      <c r="C10" s="4" t="s">
        <v>14</v>
      </c>
      <c r="D10" s="4"/>
      <c r="E10" s="16"/>
    </row>
    <row r="11" spans="1:12" x14ac:dyDescent="0.25">
      <c r="A11" s="15" t="s">
        <v>24</v>
      </c>
      <c r="B11" s="4">
        <v>0.4</v>
      </c>
      <c r="C11" s="4" t="s">
        <v>14</v>
      </c>
      <c r="D11" s="4">
        <f>B13-B11</f>
        <v>1.1299999999999999</v>
      </c>
      <c r="E11" s="16" t="s">
        <v>78</v>
      </c>
    </row>
    <row r="12" spans="1:12" x14ac:dyDescent="0.25">
      <c r="A12" s="15" t="s">
        <v>27</v>
      </c>
      <c r="B12" s="4">
        <v>0.50700000000000001</v>
      </c>
      <c r="C12" s="4" t="s">
        <v>14</v>
      </c>
      <c r="D12" s="4"/>
      <c r="E12" s="16"/>
    </row>
    <row r="13" spans="1:12" x14ac:dyDescent="0.25">
      <c r="A13" s="15" t="s">
        <v>30</v>
      </c>
      <c r="B13" s="4">
        <v>1.53</v>
      </c>
      <c r="C13" s="4" t="s">
        <v>14</v>
      </c>
      <c r="D13" s="4">
        <f>B14-B12</f>
        <v>1.073</v>
      </c>
      <c r="E13" s="16" t="s">
        <v>79</v>
      </c>
    </row>
    <row r="14" spans="1:12" x14ac:dyDescent="0.25">
      <c r="A14" s="17" t="s">
        <v>32</v>
      </c>
      <c r="B14" s="19">
        <v>1.58</v>
      </c>
      <c r="C14" s="19" t="s">
        <v>14</v>
      </c>
      <c r="D14" s="19"/>
      <c r="E14" s="26"/>
    </row>
    <row r="15" spans="1:12" x14ac:dyDescent="0.25">
      <c r="A15" s="2"/>
      <c r="B15" s="2"/>
      <c r="C15" s="2"/>
    </row>
    <row r="16" spans="1:12" x14ac:dyDescent="0.25">
      <c r="A16" s="9" t="s">
        <v>33</v>
      </c>
      <c r="B16" s="10"/>
      <c r="C16" s="10"/>
      <c r="D16" s="11" t="s">
        <v>62</v>
      </c>
      <c r="E16" s="2" t="s">
        <v>88</v>
      </c>
      <c r="F16" s="2" t="s">
        <v>97</v>
      </c>
      <c r="G16" s="2" t="s">
        <v>98</v>
      </c>
      <c r="H16" s="2" t="s">
        <v>99</v>
      </c>
      <c r="I16" s="2" t="s">
        <v>101</v>
      </c>
    </row>
    <row r="17" spans="1:9" x14ac:dyDescent="0.25">
      <c r="A17" s="9" t="s">
        <v>36</v>
      </c>
      <c r="B17" s="10">
        <v>55.63</v>
      </c>
      <c r="C17" s="10" t="s">
        <v>35</v>
      </c>
      <c r="D17" s="35" cm="1">
        <f t="array" ref="D17">dichte(B17)</f>
        <v>984.83875</v>
      </c>
      <c r="E17" s="34" cm="1">
        <f t="array" ref="E17">Konstanten!$F$5*$F$4/kinv(B17)</f>
        <v>36734.768369085949</v>
      </c>
      <c r="F17" s="36" cm="1">
        <f t="array" ref="F17">kinv(B17)*Konstanten!$B$1*dichte(B17)/wlf(B17)</f>
        <v>3.2055993260546538</v>
      </c>
      <c r="G17" s="33">
        <f>0.023*(E17^2*F17)^0.4</f>
        <v>164.49525536935545</v>
      </c>
      <c r="H17" s="35" cm="1">
        <f t="array" ref="H17">G17/Konstanten!$F$5*wlf(B17)</f>
        <v>10.647647923541415</v>
      </c>
      <c r="I17" s="40">
        <f>1/((1/(H23*0.01))+((1/(2*0.015))*LN(0.013/0.01))+(1/(H19*0.013)))</f>
        <v>3.676414864816592E-2</v>
      </c>
    </row>
    <row r="18" spans="1:9" x14ac:dyDescent="0.25">
      <c r="A18" s="15" t="s">
        <v>38</v>
      </c>
      <c r="B18" s="4">
        <v>55.54</v>
      </c>
      <c r="C18" s="4" t="s">
        <v>35</v>
      </c>
      <c r="D18" s="22" cm="1">
        <f t="array" ref="D18">dichte(B18)</f>
        <v>984.87250000000006</v>
      </c>
      <c r="E18" s="34" cm="1">
        <f t="array" ref="E18">Konstanten!$F$5*$F$4/kinv(B18)</f>
        <v>36683.30161509665</v>
      </c>
      <c r="F18" s="37" cm="1">
        <f t="array" ref="F18">kinv(B18)*Konstanten!$B$1*dichte(B18)/wlf(B18)</f>
        <v>3.2106886143999538</v>
      </c>
      <c r="G18" s="27">
        <f t="shared" ref="G18:G24" si="0">0.023*(E18^2*F18)^0.4</f>
        <v>164.41515435656203</v>
      </c>
      <c r="H18" s="22" cm="1">
        <f t="array" ref="H18">G18/Konstanten!$F$5*wlf(B18)</f>
        <v>10.640865971407321</v>
      </c>
      <c r="I18" s="41"/>
    </row>
    <row r="19" spans="1:9" x14ac:dyDescent="0.25">
      <c r="A19" s="15" t="s">
        <v>40</v>
      </c>
      <c r="B19" s="4">
        <v>30.71</v>
      </c>
      <c r="C19" s="4" t="s">
        <v>35</v>
      </c>
      <c r="D19" s="22" cm="1">
        <f t="array" ref="D19">dichte(B19)</f>
        <v>994.18375000000003</v>
      </c>
      <c r="E19" s="34" cm="1">
        <f t="array" ref="E19">Konstanten!$F$5*$F$4/kinv(B19)</f>
        <v>23244.034610430834</v>
      </c>
      <c r="F19" s="37" cm="1">
        <f t="array" ref="F19">kinv(B19)*Konstanten!$B$1*dichte(B19)/wlf(B19)</f>
        <v>5.3858396547695557</v>
      </c>
      <c r="G19" s="27">
        <f t="shared" si="0"/>
        <v>140.3713299335129</v>
      </c>
      <c r="H19" s="22" cm="1">
        <f t="array" ref="H19">G19/Konstanten!$F$5*wlf(B19)</f>
        <v>8.6278356531983835</v>
      </c>
      <c r="I19" s="41"/>
    </row>
    <row r="20" spans="1:9" x14ac:dyDescent="0.25">
      <c r="A20" s="17" t="s">
        <v>42</v>
      </c>
      <c r="B20" s="19">
        <v>31.52</v>
      </c>
      <c r="C20" s="19" t="s">
        <v>35</v>
      </c>
      <c r="D20" s="24" cm="1">
        <f t="array" ref="D20">dichte(B20)</f>
        <v>993.88</v>
      </c>
      <c r="E20" s="38" cm="1">
        <f t="array" ref="E20">Konstanten!$F$5*$F$4/kinv(B20)</f>
        <v>23644.190309479272</v>
      </c>
      <c r="F20" s="39" cm="1">
        <f t="array" ref="F20">kinv(B20)*Konstanten!$B$1*dichte(B20)/wlf(B20)</f>
        <v>5.2823911975492486</v>
      </c>
      <c r="G20" s="30">
        <f t="shared" si="0"/>
        <v>141.20159980369536</v>
      </c>
      <c r="H20" s="24" cm="1">
        <f t="array" ref="H20">G20/Konstanten!$F$5*wlf(B20)</f>
        <v>8.6964155467174109</v>
      </c>
      <c r="I20" s="42"/>
    </row>
    <row r="21" spans="1:9" x14ac:dyDescent="0.25">
      <c r="A21" s="9" t="s">
        <v>44</v>
      </c>
      <c r="B21" s="10">
        <v>39.83</v>
      </c>
      <c r="C21" s="10" t="s">
        <v>35</v>
      </c>
      <c r="D21" s="35" cm="1">
        <f t="array" ref="D21">dichte(B21)</f>
        <v>990.76375000000007</v>
      </c>
      <c r="E21" s="34" cm="1">
        <f t="array" ref="E21">Konstanten!$F$4*$F$3/kinv(B21)</f>
        <v>9592.5609400565208</v>
      </c>
      <c r="F21" s="36" cm="1">
        <f t="array" ref="F21">kinv(B21)*Konstanten!$B$1*dichte(B21)/wlf(B21)</f>
        <v>4.3721919573298571</v>
      </c>
      <c r="G21" s="33">
        <f t="shared" si="0"/>
        <v>63.614362295208991</v>
      </c>
      <c r="H21" s="35" cm="1">
        <f t="array" ref="H21">G21/Konstanten!$F$4*wlf(B21)</f>
        <v>13.315157301296498</v>
      </c>
      <c r="I21" s="40">
        <f>1/((1/(H24*0.01))+((1/(2*0.015))*LN(0.013/0.01))+(1/(H20*0.013)))</f>
        <v>3.6872782586727708E-2</v>
      </c>
    </row>
    <row r="22" spans="1:9" x14ac:dyDescent="0.25">
      <c r="A22" s="15" t="s">
        <v>46</v>
      </c>
      <c r="B22" s="4">
        <v>38.409999999999997</v>
      </c>
      <c r="C22" s="4" t="s">
        <v>35</v>
      </c>
      <c r="D22" s="22" cm="1">
        <f t="array" ref="D22">dichte(B22)</f>
        <v>991.2962500000001</v>
      </c>
      <c r="E22" s="34" cm="1">
        <f t="array" ref="E22">Konstanten!$F$4*$F$3/kinv(B22)</f>
        <v>9333.5655945193357</v>
      </c>
      <c r="F22" s="37" cm="1">
        <f t="array" ref="F22">kinv(B22)*Konstanten!$B$1*dichte(B22)/wlf(B22)</f>
        <v>4.5100601944385215</v>
      </c>
      <c r="G22" s="27">
        <f t="shared" si="0"/>
        <v>63.014259705764786</v>
      </c>
      <c r="H22" s="22" cm="1">
        <f t="array" ref="H22">G22/Konstanten!$F$4*wlf(B22)</f>
        <v>13.148226673593705</v>
      </c>
      <c r="I22" s="41"/>
    </row>
    <row r="23" spans="1:9" x14ac:dyDescent="0.25">
      <c r="A23" s="15" t="s">
        <v>48</v>
      </c>
      <c r="B23" s="4">
        <v>16.21</v>
      </c>
      <c r="C23" s="4" t="s">
        <v>35</v>
      </c>
      <c r="D23" s="22" cm="1">
        <f t="array" ref="D23">dichte(B23)</f>
        <v>999.62125000000003</v>
      </c>
      <c r="E23" s="34" cm="1">
        <f t="array" ref="E23">Konstanten!$F$4*$F$3/kinv(B23)</f>
        <v>5736.4159102235644</v>
      </c>
      <c r="F23" s="37" cm="1">
        <f t="array" ref="F23">kinv(B23)*Konstanten!$B$1*dichte(B23)/wlf(B23)</f>
        <v>7.8464594674850803</v>
      </c>
      <c r="G23" s="27">
        <f t="shared" si="0"/>
        <v>53.273328917779551</v>
      </c>
      <c r="H23" s="22" cm="1">
        <f t="array" ref="H23">G23/Konstanten!$F$4*wlf(B23)</f>
        <v>10.483003993412233</v>
      </c>
      <c r="I23" s="41"/>
    </row>
    <row r="24" spans="1:9" x14ac:dyDescent="0.25">
      <c r="A24" s="17" t="s">
        <v>50</v>
      </c>
      <c r="B24" s="19">
        <v>16.3</v>
      </c>
      <c r="C24" s="19" t="s">
        <v>35</v>
      </c>
      <c r="D24" s="24" cm="1">
        <f t="array" ref="D24">dichte(B24)</f>
        <v>999.58750000000009</v>
      </c>
      <c r="E24" s="38" cm="1">
        <f t="array" ref="E24">Konstanten!$F$4*$F$3/kinv(B24)</f>
        <v>5749.0318573719805</v>
      </c>
      <c r="F24" s="39" cm="1">
        <f t="array" ref="F24">kinv(B24)*Konstanten!$B$1*dichte(B24)/wlf(B24)</f>
        <v>7.8268160525672448</v>
      </c>
      <c r="G24" s="30">
        <f t="shared" si="0"/>
        <v>53.313557007568136</v>
      </c>
      <c r="H24" s="24" cm="1">
        <f t="array" ref="H24">G24/Konstanten!$F$4*wlf(B24)</f>
        <v>10.493815794341753</v>
      </c>
      <c r="I24" s="42"/>
    </row>
    <row r="25" spans="1:9" x14ac:dyDescent="0.25">
      <c r="D25" s="2"/>
      <c r="E25" s="2"/>
    </row>
    <row r="26" spans="1:9" x14ac:dyDescent="0.25">
      <c r="D26" s="2"/>
      <c r="E26" s="2"/>
    </row>
    <row r="27" spans="1:9" x14ac:dyDescent="0.25">
      <c r="B27" s="9" t="s">
        <v>70</v>
      </c>
      <c r="C27" s="10" t="s">
        <v>73</v>
      </c>
      <c r="D27" s="10" t="s">
        <v>72</v>
      </c>
      <c r="E27" s="11" t="s">
        <v>75</v>
      </c>
    </row>
    <row r="28" spans="1:9" x14ac:dyDescent="0.25">
      <c r="B28" s="12">
        <f>D4*Konstanten!B1*(B18*D18-B19*D19)</f>
        <v>14.691297211905232</v>
      </c>
      <c r="C28" s="13">
        <f>(D4+C35)*Konstanten!B1*(B18*D18-B19*D19)</f>
        <v>13.930428364235391</v>
      </c>
      <c r="D28" s="13">
        <f>-$D$4*Konstanten!$B$1*($B$20*D20-$B$17*D17)</f>
        <v>14.260344685684451</v>
      </c>
      <c r="E28" s="14">
        <f>($D$4+E35)*Konstanten!$B$1*($B$17*D17-$B$20*D20)</f>
        <v>14.143002052306711</v>
      </c>
    </row>
    <row r="29" spans="1:9" x14ac:dyDescent="0.25">
      <c r="B29" s="15"/>
      <c r="C29" s="4"/>
      <c r="D29" s="4"/>
      <c r="E29" s="16"/>
    </row>
    <row r="30" spans="1:9" x14ac:dyDescent="0.25">
      <c r="B30" s="15"/>
      <c r="C30" s="4"/>
      <c r="D30" s="4"/>
      <c r="E30" s="16"/>
    </row>
    <row r="31" spans="1:9" x14ac:dyDescent="0.25">
      <c r="B31" s="15" t="s">
        <v>71</v>
      </c>
      <c r="C31" s="4" t="s">
        <v>153</v>
      </c>
      <c r="D31" s="4" t="s">
        <v>74</v>
      </c>
      <c r="E31" s="16" t="s">
        <v>75</v>
      </c>
    </row>
    <row r="32" spans="1:9" x14ac:dyDescent="0.25">
      <c r="B32" s="12">
        <f>-D3*Konstanten!B1*(B23*D23-B22*D22)</f>
        <v>13.241861128755</v>
      </c>
      <c r="C32" s="13">
        <f>-(D3-C35)*Konstanten!B1*(B23*D23-B22*D22)</f>
        <v>13.930428364235386</v>
      </c>
      <c r="D32" s="13">
        <f>-$D$3*Konstanten!$B$1*($B$24*D24-$B$21*D21)</f>
        <v>14.027113169944872</v>
      </c>
      <c r="E32" s="14">
        <f>-($D$3-E35)*Konstanten!$B$1*($B$24*D24-$B$21*D21)</f>
        <v>14.143002052306707</v>
      </c>
    </row>
    <row r="33" spans="2:5" x14ac:dyDescent="0.25">
      <c r="B33" s="12"/>
      <c r="C33" s="4"/>
      <c r="D33" s="13"/>
      <c r="E33" s="16"/>
    </row>
    <row r="34" spans="2:5" x14ac:dyDescent="0.25">
      <c r="B34" s="12"/>
      <c r="C34" s="4" t="s">
        <v>67</v>
      </c>
      <c r="D34" s="13"/>
      <c r="E34" s="16" t="s">
        <v>67</v>
      </c>
    </row>
    <row r="35" spans="2:5" x14ac:dyDescent="0.25">
      <c r="B35" s="15"/>
      <c r="C35" s="4">
        <v>-7.5225624075242722E-6</v>
      </c>
      <c r="D35" s="4"/>
      <c r="E35" s="16">
        <v>-1.1952037537512665E-6</v>
      </c>
    </row>
    <row r="36" spans="2:5" x14ac:dyDescent="0.25">
      <c r="B36" s="15"/>
      <c r="C36" s="4" t="s">
        <v>68</v>
      </c>
      <c r="D36" s="4"/>
      <c r="E36" s="16" t="s">
        <v>68</v>
      </c>
    </row>
    <row r="37" spans="2:5" x14ac:dyDescent="0.25">
      <c r="B37" s="17"/>
      <c r="C37" s="18">
        <f>C28-C32</f>
        <v>0</v>
      </c>
      <c r="D37" s="19"/>
      <c r="E37" s="20">
        <f>E28-E32</f>
        <v>0</v>
      </c>
    </row>
  </sheetData>
  <phoneticPr fontId="3" type="noConversion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070C5-3165-44E1-9928-2540685C9021}">
  <dimension ref="A1:J30"/>
  <sheetViews>
    <sheetView tabSelected="1" topLeftCell="A8" workbookViewId="0">
      <selection activeCell="M19" sqref="M19"/>
    </sheetView>
  </sheetViews>
  <sheetFormatPr baseColWidth="10" defaultRowHeight="15" x14ac:dyDescent="0.25"/>
  <cols>
    <col min="2" max="2" width="12" bestFit="1" customWidth="1"/>
    <col min="3" max="3" width="18.7109375" bestFit="1" customWidth="1"/>
    <col min="4" max="4" width="21" bestFit="1" customWidth="1"/>
    <col min="5" max="5" width="19.85546875" bestFit="1" customWidth="1"/>
  </cols>
  <sheetData>
    <row r="1" spans="1:10" x14ac:dyDescent="0.25">
      <c r="A1" s="55" t="s">
        <v>109</v>
      </c>
      <c r="B1" s="55" t="s">
        <v>114</v>
      </c>
      <c r="C1" s="55" t="s">
        <v>115</v>
      </c>
      <c r="D1" s="1" t="s">
        <v>62</v>
      </c>
      <c r="E1" s="1"/>
      <c r="F1" s="1"/>
      <c r="G1" s="1"/>
      <c r="H1" s="1"/>
      <c r="I1" s="1"/>
      <c r="J1" s="1"/>
    </row>
    <row r="2" spans="1:10" x14ac:dyDescent="0.25">
      <c r="A2" s="56" t="s">
        <v>145</v>
      </c>
      <c r="B2" s="37">
        <v>55.54</v>
      </c>
      <c r="C2" s="4">
        <v>0.2</v>
      </c>
      <c r="D2" s="37" cm="1">
        <f t="array" ref="D2">dichte(B4)</f>
        <v>984.83875</v>
      </c>
      <c r="F2" s="2"/>
      <c r="G2" s="2"/>
      <c r="H2" s="2"/>
      <c r="I2" s="2"/>
      <c r="J2" s="2"/>
    </row>
    <row r="3" spans="1:10" x14ac:dyDescent="0.25">
      <c r="A3" s="56" t="s">
        <v>146</v>
      </c>
      <c r="B3" s="37">
        <v>30.71</v>
      </c>
      <c r="C3" s="4">
        <v>0.152</v>
      </c>
      <c r="D3" s="37" cm="1">
        <f t="array" ref="D3">dichte(B2)</f>
        <v>984.87250000000006</v>
      </c>
      <c r="E3" s="2"/>
      <c r="F3" s="2"/>
      <c r="G3" s="2"/>
      <c r="H3" s="2"/>
      <c r="I3" s="2"/>
      <c r="J3" s="2"/>
    </row>
    <row r="4" spans="1:10" x14ac:dyDescent="0.25">
      <c r="A4" s="56" t="s">
        <v>147</v>
      </c>
      <c r="B4" s="37">
        <v>55.63</v>
      </c>
      <c r="C4" s="4">
        <v>0.31</v>
      </c>
      <c r="D4" s="37" cm="1">
        <f t="array" ref="D4">dichte(B3)</f>
        <v>994.18375000000003</v>
      </c>
      <c r="F4" s="2"/>
      <c r="G4" s="2"/>
      <c r="H4" s="2"/>
      <c r="I4" s="2"/>
      <c r="J4" s="2"/>
    </row>
    <row r="5" spans="1:10" x14ac:dyDescent="0.25">
      <c r="A5" s="56" t="s">
        <v>148</v>
      </c>
      <c r="B5" s="37">
        <v>31.52</v>
      </c>
      <c r="C5" s="4">
        <v>0.3</v>
      </c>
      <c r="D5" s="37" cm="1">
        <f t="array" ref="D5">dichte(B5)</f>
        <v>993.88</v>
      </c>
      <c r="E5" s="2"/>
      <c r="F5" s="4"/>
      <c r="G5" s="4"/>
      <c r="H5" s="4"/>
      <c r="I5" s="4"/>
      <c r="J5" s="4"/>
    </row>
    <row r="6" spans="1:10" x14ac:dyDescent="0.25">
      <c r="A6" s="57" t="s">
        <v>145</v>
      </c>
      <c r="B6" s="37">
        <v>16.21</v>
      </c>
      <c r="C6" s="4">
        <v>1.53</v>
      </c>
      <c r="D6" s="37" cm="1">
        <f t="array" ref="D6">dichte(B9)</f>
        <v>990.76375000000007</v>
      </c>
      <c r="E6" s="2"/>
      <c r="F6" s="13"/>
      <c r="H6" s="13"/>
      <c r="I6" s="13"/>
      <c r="J6" s="13"/>
    </row>
    <row r="7" spans="1:10" x14ac:dyDescent="0.25">
      <c r="A7" s="57" t="s">
        <v>146</v>
      </c>
      <c r="B7" s="37">
        <v>38.409999999999997</v>
      </c>
      <c r="C7" s="4">
        <v>0.4</v>
      </c>
      <c r="D7" s="37" cm="1">
        <f t="array" ref="D7">dichte(B7)</f>
        <v>991.2962500000001</v>
      </c>
      <c r="G7" s="4"/>
      <c r="H7" s="13"/>
      <c r="I7" s="4"/>
      <c r="J7" s="13"/>
    </row>
    <row r="8" spans="1:10" x14ac:dyDescent="0.25">
      <c r="A8" s="57" t="s">
        <v>147</v>
      </c>
      <c r="B8" s="37">
        <v>16.3</v>
      </c>
      <c r="C8" s="4">
        <v>1.58</v>
      </c>
      <c r="D8" s="37" cm="1">
        <f t="array" ref="D8">dichte(B6)</f>
        <v>999.62125000000003</v>
      </c>
      <c r="E8" s="2"/>
      <c r="F8" s="4"/>
      <c r="G8" s="4"/>
      <c r="H8" s="13"/>
      <c r="I8" s="4"/>
      <c r="J8" s="13"/>
    </row>
    <row r="9" spans="1:10" x14ac:dyDescent="0.25">
      <c r="A9" s="57" t="s">
        <v>148</v>
      </c>
      <c r="B9" s="37">
        <v>39.83</v>
      </c>
      <c r="C9" s="4">
        <v>0.50700000000000001</v>
      </c>
      <c r="D9" s="37" cm="1">
        <f t="array" ref="D9">dichte(B8)</f>
        <v>999.58750000000009</v>
      </c>
      <c r="E9" s="2"/>
      <c r="F9" s="4"/>
      <c r="H9" s="4"/>
      <c r="I9" s="4"/>
      <c r="J9" s="4"/>
    </row>
    <row r="10" spans="1:10" x14ac:dyDescent="0.25">
      <c r="A10" s="4"/>
      <c r="B10" s="4"/>
      <c r="C10" s="4"/>
      <c r="D10" s="4"/>
      <c r="E10" s="2"/>
      <c r="F10" s="4"/>
      <c r="G10" s="4"/>
      <c r="H10" s="4"/>
      <c r="I10" s="4"/>
      <c r="J10" s="4"/>
    </row>
    <row r="11" spans="1:10" x14ac:dyDescent="0.25">
      <c r="A11" s="2"/>
      <c r="B11" s="59" t="s">
        <v>117</v>
      </c>
      <c r="C11" s="1" t="s">
        <v>121</v>
      </c>
      <c r="D11" s="1" t="s">
        <v>116</v>
      </c>
      <c r="E11" s="1" t="s">
        <v>93</v>
      </c>
      <c r="F11" s="4"/>
      <c r="G11" s="13"/>
      <c r="H11" s="4"/>
      <c r="I11" s="13"/>
      <c r="J11" s="4"/>
    </row>
    <row r="12" spans="1:10" x14ac:dyDescent="0.25">
      <c r="A12" s="56" t="s">
        <v>118</v>
      </c>
      <c r="B12">
        <f>Konstanten!D5</f>
        <v>7.8539816339744827E-5</v>
      </c>
      <c r="C12">
        <f>Konstanten!F5</f>
        <v>0.01</v>
      </c>
      <c r="D12" s="5">
        <f>'Gegenstrom Parallel'!D4</f>
        <v>1.4525000000000001E-4</v>
      </c>
      <c r="E12" s="6">
        <f>D12/B12</f>
        <v>1.8493804387278239</v>
      </c>
      <c r="F12" s="2"/>
      <c r="G12" s="2"/>
      <c r="H12" s="2"/>
      <c r="I12" s="2"/>
      <c r="J12" s="2"/>
    </row>
    <row r="13" spans="1:10" x14ac:dyDescent="0.25">
      <c r="A13" s="57" t="s">
        <v>120</v>
      </c>
      <c r="B13" s="2">
        <f>Konstanten!D4</f>
        <v>6.8329640215577996E-5</v>
      </c>
      <c r="C13" s="2">
        <f>Konstanten!F4</f>
        <v>3.0000000000000001E-3</v>
      </c>
      <c r="D13" s="27">
        <f>'Gegenstrom Parallel'!D3</f>
        <v>1.4466666666666667E-4</v>
      </c>
      <c r="E13" s="6">
        <f>D13/B13</f>
        <v>2.1171875954600026</v>
      </c>
      <c r="F13" s="2"/>
      <c r="G13" s="2"/>
      <c r="H13" s="2"/>
      <c r="I13" s="2"/>
      <c r="J13" s="2"/>
    </row>
    <row r="14" spans="1:10" x14ac:dyDescent="0.25">
      <c r="A14" s="2"/>
      <c r="B14" s="2"/>
      <c r="C14" s="2"/>
      <c r="D14" s="27"/>
      <c r="E14" s="2"/>
      <c r="F14" s="2"/>
      <c r="G14" s="2"/>
      <c r="H14" s="2"/>
      <c r="I14" s="2"/>
      <c r="J14" s="2"/>
    </row>
    <row r="15" spans="1:10" x14ac:dyDescent="0.25">
      <c r="A15" s="55" t="s">
        <v>122</v>
      </c>
      <c r="B15" s="61" t="s">
        <v>144</v>
      </c>
      <c r="C15" s="62" t="s">
        <v>126</v>
      </c>
      <c r="D15" s="62" t="s">
        <v>127</v>
      </c>
      <c r="E15" s="62" t="s">
        <v>128</v>
      </c>
      <c r="F15" s="62" t="s">
        <v>129</v>
      </c>
      <c r="G15" s="63" t="s">
        <v>130</v>
      </c>
      <c r="H15" s="59"/>
      <c r="I15" s="59"/>
      <c r="J15" s="59"/>
    </row>
    <row r="16" spans="1:10" x14ac:dyDescent="0.25">
      <c r="A16" s="4" t="s">
        <v>125</v>
      </c>
      <c r="B16" s="64">
        <f>'Gegenstrom Parallel'!B28</f>
        <v>14.691297211905232</v>
      </c>
      <c r="C16" s="37">
        <f>'Gegenstrom Parallel'!B32</f>
        <v>13.241861128755</v>
      </c>
      <c r="D16" s="27">
        <f>'Gegenstrom Parallel'!C35</f>
        <v>-7.5225624075242722E-6</v>
      </c>
      <c r="E16" s="37">
        <f>'Gegenstrom Parallel'!C28</f>
        <v>13.930428364235391</v>
      </c>
      <c r="F16" s="37">
        <f>E16</f>
        <v>13.930428364235391</v>
      </c>
      <c r="G16" s="22">
        <v>0</v>
      </c>
      <c r="H16" s="67"/>
      <c r="I16" s="2"/>
      <c r="J16" s="2"/>
    </row>
    <row r="17" spans="1:10" x14ac:dyDescent="0.25">
      <c r="A17" s="4" t="s">
        <v>124</v>
      </c>
      <c r="B17" s="65">
        <f>'Gegenstrom Parallel'!D28</f>
        <v>14.260344685684451</v>
      </c>
      <c r="C17" s="39">
        <f>'Gegenstrom Parallel'!D32</f>
        <v>14.027113169944872</v>
      </c>
      <c r="D17" s="30">
        <f>'Gegenstrom Parallel'!E35</f>
        <v>-1.1952037537512665E-6</v>
      </c>
      <c r="E17" s="39">
        <f>'Gegenstrom Parallel'!E28</f>
        <v>14.143002052306711</v>
      </c>
      <c r="F17" s="39">
        <f>E17</f>
        <v>14.143002052306711</v>
      </c>
      <c r="G17" s="24">
        <v>0</v>
      </c>
      <c r="H17" s="67"/>
      <c r="I17" s="2"/>
      <c r="J17" s="2"/>
    </row>
    <row r="18" spans="1:10" x14ac:dyDescent="0.25">
      <c r="A18" s="2"/>
      <c r="B18" s="2"/>
      <c r="C18" s="2"/>
      <c r="D18" s="27"/>
      <c r="E18" s="2"/>
      <c r="F18" s="2"/>
      <c r="G18" s="2"/>
      <c r="H18" s="2"/>
      <c r="I18" s="2"/>
      <c r="J18" s="2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</row>
    <row r="20" spans="1:10" x14ac:dyDescent="0.25">
      <c r="A20" s="55" t="s">
        <v>134</v>
      </c>
      <c r="B20" s="59" t="s">
        <v>133</v>
      </c>
      <c r="C20" s="59" t="s">
        <v>87</v>
      </c>
      <c r="D20" s="59" t="s">
        <v>141</v>
      </c>
      <c r="E20" s="59" t="s">
        <v>142</v>
      </c>
      <c r="F20" s="59" t="s">
        <v>88</v>
      </c>
      <c r="G20" s="59" t="s">
        <v>97</v>
      </c>
      <c r="H20" s="59" t="s">
        <v>98</v>
      </c>
      <c r="I20" s="59" t="s">
        <v>132</v>
      </c>
      <c r="J20" s="59" t="s">
        <v>100</v>
      </c>
    </row>
    <row r="21" spans="1:10" x14ac:dyDescent="0.25">
      <c r="A21" s="4" t="s">
        <v>135</v>
      </c>
      <c r="B21" s="37">
        <f>'Gegenstrom Parallel'!F7</f>
        <v>5.8000000000000024E-2</v>
      </c>
      <c r="C21" s="27">
        <f>$D$12*B21*10^5/1000</f>
        <v>8.4245000000000034E-4</v>
      </c>
      <c r="D21" s="27">
        <f>C21/0.8</f>
        <v>1.0530625000000004E-3</v>
      </c>
      <c r="E21" s="60">
        <f>$E$16/D21</f>
        <v>13228.49153230258</v>
      </c>
      <c r="F21" s="67" cm="1">
        <f t="array" ref="F21">Konstanten!$F$5*$E$12/kinv(B3)</f>
        <v>23244.034610430834</v>
      </c>
      <c r="G21" s="37" cm="1">
        <f t="array" ref="G21">kinv(B3)*Konstanten!$B$1*dichte(B3)/wlf(B3)</f>
        <v>5.3858396547695557</v>
      </c>
      <c r="H21" s="27">
        <f>0.023*(F21^2*G21)^0.4</f>
        <v>140.3713299335129</v>
      </c>
      <c r="I21" s="37" cm="1">
        <f t="array" ref="I21">H21/Konstanten!$F$5*wlf(B3)</f>
        <v>8.6278356531983835</v>
      </c>
      <c r="J21" s="4">
        <f>1/((1/(I21*0.01))+((1/(2*0.015))*LN(0.013/0.01))+(1/(I22*0.013)))</f>
        <v>3.6128359617952348E-2</v>
      </c>
    </row>
    <row r="22" spans="1:10" x14ac:dyDescent="0.25">
      <c r="A22" s="4" t="s">
        <v>136</v>
      </c>
      <c r="B22" s="37">
        <f>'Gegenstrom Parallel'!F8</f>
        <v>2.2029999999999998</v>
      </c>
      <c r="C22" s="27">
        <f t="shared" ref="C22:C24" si="0">$D$12*B22*10^5/1000</f>
        <v>3.1998575000000001E-2</v>
      </c>
      <c r="D22" s="27">
        <f t="shared" ref="D21:D24" si="1">C22/0.8</f>
        <v>3.9998218750000002E-2</v>
      </c>
      <c r="E22" s="60">
        <f>$E$16/D22</f>
        <v>348.27621828123011</v>
      </c>
      <c r="F22" s="67" cm="1">
        <f t="array" ref="F22">Konstanten!$F$4*$E$13/kinv(B6)</f>
        <v>5736.4159102235644</v>
      </c>
      <c r="G22" s="37" cm="1">
        <f t="array" ref="G22">kinv(B8)*Konstanten!$B$1*dichte(B8)/wlf(B8)</f>
        <v>7.8268160525672448</v>
      </c>
      <c r="H22" s="27">
        <f>0.023*(F22^2*G22)^0.4</f>
        <v>53.219941419740074</v>
      </c>
      <c r="I22" s="37" cm="1">
        <f t="array" ref="I22">H22/Konstanten!$F$4*wlf(B8)</f>
        <v>10.475389247900532</v>
      </c>
      <c r="J22" s="4"/>
    </row>
    <row r="23" spans="1:10" x14ac:dyDescent="0.25">
      <c r="A23" s="4" t="s">
        <v>137</v>
      </c>
      <c r="B23" s="37">
        <f>'Gegenstrom Parallel'!J7</f>
        <v>1.0000000000000009E-2</v>
      </c>
      <c r="C23" s="27">
        <f t="shared" si="0"/>
        <v>1.4525000000000014E-4</v>
      </c>
      <c r="D23" s="27">
        <f t="shared" si="1"/>
        <v>1.8156250000000016E-4</v>
      </c>
      <c r="E23" s="60">
        <f>$E$17/D23</f>
        <v>77896.052611671999</v>
      </c>
      <c r="F23" s="67" cm="1">
        <f t="array" ref="F23">Konstanten!$F$5*$E$12/kinv(B5)</f>
        <v>23644.190309479272</v>
      </c>
      <c r="G23" s="37" cm="1">
        <f t="array" ref="G23">kinv(B5)*Konstanten!$B$1*dichte(B5)/wlf(B5)</f>
        <v>5.2823911975492486</v>
      </c>
      <c r="H23" s="27">
        <f>0.023*(F23^2*G23)^0.4</f>
        <v>141.20159980369536</v>
      </c>
      <c r="I23" s="37" cm="1">
        <f t="array" ref="I23">H23/Konstanten!$F$5*wlf(B5)</f>
        <v>8.6964155467174109</v>
      </c>
      <c r="J23" s="4">
        <f>1/((1/(I23*0.01))+((1/(2*0.015))*LN(0.013/0.01))+(1/(I24*0.013)))</f>
        <v>3.6265007816968307E-2</v>
      </c>
    </row>
    <row r="24" spans="1:10" x14ac:dyDescent="0.25">
      <c r="A24" s="4" t="s">
        <v>138</v>
      </c>
      <c r="B24" s="37">
        <f>'Gegenstrom Parallel'!J8</f>
        <v>1.073</v>
      </c>
      <c r="C24" s="27">
        <f t="shared" si="0"/>
        <v>1.5585324999999999E-2</v>
      </c>
      <c r="D24" s="27">
        <f t="shared" si="1"/>
        <v>1.9481656249999996E-2</v>
      </c>
      <c r="E24" s="60">
        <f>$E$17/D24</f>
        <v>725.9650755980623</v>
      </c>
      <c r="F24" s="67" cm="1">
        <f t="array" ref="F24">Konstanten!$F$4*$E$13/kinv(B8)</f>
        <v>5749.0318573719805</v>
      </c>
      <c r="G24" s="37" cm="1">
        <f t="array" ref="G24">kinv(B8)*Konstanten!$B$1*dichte(B8)/wlf(B8)</f>
        <v>7.8268160525672448</v>
      </c>
      <c r="H24" s="27">
        <f>0.023*(F24^2*G24)^0.4</f>
        <v>53.313557007568136</v>
      </c>
      <c r="I24" s="37" cm="1">
        <f t="array" ref="I24">H24/Konstanten!$F$4*wlf(B8)</f>
        <v>10.493815794341753</v>
      </c>
      <c r="J24" s="4"/>
    </row>
    <row r="26" spans="1:10" x14ac:dyDescent="0.25">
      <c r="A26" s="2" t="s">
        <v>154</v>
      </c>
      <c r="B26" s="2" t="s">
        <v>135</v>
      </c>
      <c r="C26" s="2" t="s">
        <v>136</v>
      </c>
      <c r="D26" s="2" t="s">
        <v>137</v>
      </c>
      <c r="E26" s="2" t="s">
        <v>138</v>
      </c>
    </row>
    <row r="27" spans="1:10" x14ac:dyDescent="0.25">
      <c r="A27" s="2">
        <v>0</v>
      </c>
      <c r="B27" s="68">
        <f>B2</f>
        <v>55.54</v>
      </c>
      <c r="C27" s="68">
        <f>B7</f>
        <v>38.409999999999997</v>
      </c>
      <c r="D27" s="6">
        <f>B4</f>
        <v>55.63</v>
      </c>
      <c r="E27" s="6">
        <f>B9</f>
        <v>39.83</v>
      </c>
    </row>
    <row r="28" spans="1:10" x14ac:dyDescent="0.25">
      <c r="A28" s="2">
        <v>7.5</v>
      </c>
      <c r="B28" s="68">
        <f>B3</f>
        <v>30.71</v>
      </c>
      <c r="C28" s="68">
        <f>B6</f>
        <v>16.21</v>
      </c>
      <c r="D28" s="6">
        <f>B5</f>
        <v>31.52</v>
      </c>
      <c r="E28" s="6">
        <f>B8</f>
        <v>16.3</v>
      </c>
    </row>
    <row r="29" spans="1:10" x14ac:dyDescent="0.25">
      <c r="A29" s="2"/>
      <c r="B29" s="68"/>
      <c r="C29" s="68"/>
    </row>
    <row r="30" spans="1:10" x14ac:dyDescent="0.25">
      <c r="A30" s="2"/>
      <c r="B30" s="68"/>
      <c r="C30" s="68"/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CBE82-EAE4-40CF-98A6-909B3804559E}">
  <dimension ref="B2:F4"/>
  <sheetViews>
    <sheetView workbookViewId="0">
      <selection activeCell="F14" sqref="F14"/>
    </sheetView>
  </sheetViews>
  <sheetFormatPr baseColWidth="10" defaultRowHeight="15" x14ac:dyDescent="0.25"/>
  <sheetData>
    <row r="2" spans="2:6" x14ac:dyDescent="0.25">
      <c r="C2" t="s">
        <v>149</v>
      </c>
      <c r="D2" s="2" t="s">
        <v>149</v>
      </c>
      <c r="E2" s="2" t="str">
        <f>F2</f>
        <v>Parallel</v>
      </c>
      <c r="F2" t="s">
        <v>152</v>
      </c>
    </row>
    <row r="3" spans="2:6" x14ac:dyDescent="0.25">
      <c r="B3" t="s">
        <v>150</v>
      </c>
      <c r="C3" s="5">
        <f>ABS('GegenstromReihe neu'!D18)</f>
        <v>7.6737995538927895E-7</v>
      </c>
      <c r="D3" s="2">
        <f>ABS(E3)</f>
        <v>7.5225624075242722E-6</v>
      </c>
      <c r="E3" s="5">
        <f>'Gegenstrom Parallel neu'!D16</f>
        <v>-7.5225624075242722E-6</v>
      </c>
      <c r="F3">
        <f>ABS(C3)</f>
        <v>7.6737995538927895E-7</v>
      </c>
    </row>
    <row r="4" spans="2:6" x14ac:dyDescent="0.25">
      <c r="B4" t="s">
        <v>151</v>
      </c>
      <c r="C4" s="5">
        <f>'GegenstromReihe neu'!D19</f>
        <v>-1.7247291339464923E-6</v>
      </c>
      <c r="D4" s="2">
        <f>ABS(E4)</f>
        <v>1.1952037537512665E-6</v>
      </c>
      <c r="E4" s="5">
        <f>'Gegenstrom Parallel neu'!D17</f>
        <v>-1.1952037537512665E-6</v>
      </c>
      <c r="F4" s="2">
        <f>ABS(C4)</f>
        <v>1.7247291339464923E-6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Messwerte</vt:lpstr>
      <vt:lpstr>Konstanten</vt:lpstr>
      <vt:lpstr>Gegenstrom Reihe</vt:lpstr>
      <vt:lpstr>GegenstromReihe neu</vt:lpstr>
      <vt:lpstr>Gegenstrom Parallel</vt:lpstr>
      <vt:lpstr>Gegenstrom Parallel neu</vt:lpstr>
      <vt:lpstr>Volumenfehlerbetrachtung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 Zank</dc:creator>
  <cp:lastModifiedBy>Roman Zank</cp:lastModifiedBy>
  <dcterms:created xsi:type="dcterms:W3CDTF">2020-07-23T13:01:57Z</dcterms:created>
  <dcterms:modified xsi:type="dcterms:W3CDTF">2020-07-24T13:14:15Z</dcterms:modified>
</cp:coreProperties>
</file>