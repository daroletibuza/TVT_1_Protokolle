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User\Dropbox\Briefbombe\4. Semester\TVT\"/>
    </mc:Choice>
  </mc:AlternateContent>
  <xr:revisionPtr revIDLastSave="0" documentId="13_ncr:1_{9125A737-576D-42E3-B862-C062C0F102FB}" xr6:coauthVersionLast="44" xr6:coauthVersionMax="45" xr10:uidLastSave="{00000000-0000-0000-0000-000000000000}"/>
  <bookViews>
    <workbookView xWindow="-120" yWindow="-120" windowWidth="20730" windowHeight="11160" activeTab="3" xr2:uid="{0EE895B7-2C0B-4156-A5C3-FF42D2E43DE7}"/>
  </bookViews>
  <sheets>
    <sheet name="Daten" sheetId="3" r:id="rId1"/>
    <sheet name="Konstanten" sheetId="2" r:id="rId2"/>
    <sheet name="WÜ1" sheetId="1" r:id="rId3"/>
    <sheet name="WÜ2" sheetId="8" r:id="rId4"/>
    <sheet name="WÜ3" sheetId="9" r:id="rId5"/>
    <sheet name="Ideal" sheetId="10" r:id="rId6"/>
    <sheet name="Diagramm (Luft)" sheetId="6" r:id="rId7"/>
  </sheets>
  <functionGroups builtInGroupCount="19"/>
  <definedNames>
    <definedName name="solver_adj" localSheetId="4" hidden="1">Ideal!$A$6:$A$9</definedName>
    <definedName name="solver_cvg" localSheetId="4" hidden="1">0.0001</definedName>
    <definedName name="solver_drv" localSheetId="4" hidden="1">1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Ideal!$B$2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1</definedName>
    <definedName name="solver_nod" localSheetId="4" hidden="1">2147483647</definedName>
    <definedName name="solver_num" localSheetId="4" hidden="1">1</definedName>
    <definedName name="solver_nwt" localSheetId="4" hidden="1">1</definedName>
    <definedName name="solver_opt" localSheetId="4" hidden="1">Ideal!$B$1</definedName>
    <definedName name="solver_pre" localSheetId="4" hidden="1">0.000001</definedName>
    <definedName name="solver_rbv" localSheetId="4" hidden="1">1</definedName>
    <definedName name="solver_rel1" localSheetId="4" hidden="1">2</definedName>
    <definedName name="solver_rhs1" localSheetId="4" hidden="1">0.4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3</definedName>
    <definedName name="solver_val" localSheetId="4" hidden="1">0.023</definedName>
    <definedName name="solver_ver" localSheetId="4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1" i="8" l="1"/>
  <c r="C12" i="1"/>
  <c r="C11" i="1"/>
  <c r="F27" i="1"/>
  <c r="F40" i="1"/>
  <c r="F23" i="1"/>
  <c r="F21" i="1"/>
  <c r="F18" i="1"/>
  <c r="F13" i="1"/>
  <c r="F8" i="1"/>
  <c r="I8" i="1"/>
  <c r="I9" i="1" s="1"/>
  <c r="I36" i="1" s="1"/>
  <c r="I34" i="1"/>
  <c r="C8" i="8"/>
  <c r="B8" i="8"/>
  <c r="C6" i="8"/>
  <c r="B6" i="8"/>
  <c r="C8" i="9"/>
  <c r="B8" i="9"/>
  <c r="C6" i="9"/>
  <c r="B6" i="9"/>
  <c r="B4" i="9"/>
  <c r="R15" i="9"/>
  <c r="O15" i="9"/>
  <c r="L15" i="9"/>
  <c r="I15" i="9"/>
  <c r="F15" i="9"/>
  <c r="R15" i="8"/>
  <c r="O15" i="8"/>
  <c r="L15" i="8"/>
  <c r="I15" i="8"/>
  <c r="F15" i="8"/>
  <c r="R15" i="1"/>
  <c r="O18" i="1"/>
  <c r="O15" i="1"/>
  <c r="L15" i="1"/>
  <c r="F41" i="1"/>
  <c r="F39" i="1"/>
  <c r="F26" i="1"/>
  <c r="F24" i="1"/>
  <c r="F37" i="1"/>
  <c r="L25" i="1"/>
  <c r="F44" i="1" l="1"/>
  <c r="L22" i="9"/>
  <c r="L23" i="9" s="1"/>
  <c r="B5" i="10"/>
  <c r="F38" i="1"/>
  <c r="F22" i="1"/>
  <c r="L39" i="1"/>
  <c r="F14" i="1"/>
  <c r="B18" i="10" l="1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A38" i="10"/>
  <c r="A39" i="10"/>
  <c r="A40" i="10" s="1"/>
  <c r="A41" i="10" s="1"/>
  <c r="A32" i="10"/>
  <c r="A33" i="10"/>
  <c r="A34" i="10" s="1"/>
  <c r="A35" i="10" s="1"/>
  <c r="A36" i="10" s="1"/>
  <c r="A37" i="10" s="1"/>
  <c r="A18" i="10"/>
  <c r="A19" i="10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R13" i="9"/>
  <c r="O13" i="9"/>
  <c r="L13" i="9"/>
  <c r="I13" i="9"/>
  <c r="F13" i="9"/>
  <c r="R13" i="8"/>
  <c r="O13" i="8"/>
  <c r="L13" i="8"/>
  <c r="I13" i="8"/>
  <c r="F13" i="8"/>
  <c r="R13" i="1"/>
  <c r="O13" i="1"/>
  <c r="L13" i="1"/>
  <c r="F4" i="2"/>
  <c r="F3" i="2"/>
  <c r="A6" i="10" l="1"/>
  <c r="B6" i="10" s="1"/>
  <c r="F5" i="2"/>
  <c r="A7" i="10" l="1"/>
  <c r="B7" i="10" s="1"/>
  <c r="A8" i="10"/>
  <c r="R10" i="9"/>
  <c r="R8" i="9"/>
  <c r="R5" i="9"/>
  <c r="R3" i="9"/>
  <c r="R4" i="9" s="1"/>
  <c r="R2" i="9"/>
  <c r="O10" i="9"/>
  <c r="O8" i="9"/>
  <c r="O5" i="9"/>
  <c r="O3" i="9"/>
  <c r="O2" i="9"/>
  <c r="L10" i="9"/>
  <c r="L8" i="9"/>
  <c r="L5" i="9"/>
  <c r="L3" i="9"/>
  <c r="L2" i="9"/>
  <c r="I10" i="9"/>
  <c r="I8" i="9"/>
  <c r="I5" i="9"/>
  <c r="I3" i="9"/>
  <c r="I2" i="9"/>
  <c r="I4" i="9" s="1"/>
  <c r="F10" i="9"/>
  <c r="F8" i="9"/>
  <c r="F5" i="9"/>
  <c r="F3" i="9"/>
  <c r="F2" i="9"/>
  <c r="I34" i="9"/>
  <c r="I35" i="9" s="1"/>
  <c r="O4" i="9"/>
  <c r="L4" i="9"/>
  <c r="F4" i="9"/>
  <c r="R10" i="8"/>
  <c r="R8" i="8"/>
  <c r="R3" i="8"/>
  <c r="R2" i="8"/>
  <c r="R4" i="8" s="1"/>
  <c r="O10" i="8"/>
  <c r="O8" i="8"/>
  <c r="O5" i="8"/>
  <c r="O3" i="8"/>
  <c r="O2" i="8"/>
  <c r="L10" i="8"/>
  <c r="L8" i="8"/>
  <c r="L5" i="8"/>
  <c r="L3" i="8"/>
  <c r="L2" i="8"/>
  <c r="I10" i="8"/>
  <c r="I8" i="8"/>
  <c r="I5" i="8"/>
  <c r="I3" i="8"/>
  <c r="I2" i="8"/>
  <c r="I4" i="8" s="1"/>
  <c r="F10" i="8"/>
  <c r="F8" i="8"/>
  <c r="F9" i="8" s="1"/>
  <c r="F5" i="8"/>
  <c r="F3" i="8"/>
  <c r="F2" i="8"/>
  <c r="F4" i="8" s="1"/>
  <c r="I34" i="8"/>
  <c r="I35" i="8" s="1"/>
  <c r="R5" i="8"/>
  <c r="B4" i="8"/>
  <c r="O4" i="8"/>
  <c r="O8" i="1"/>
  <c r="O5" i="1"/>
  <c r="O3" i="1"/>
  <c r="O10" i="1"/>
  <c r="L2" i="1"/>
  <c r="O2" i="1"/>
  <c r="R10" i="1"/>
  <c r="R8" i="1"/>
  <c r="R5" i="1"/>
  <c r="R3" i="1"/>
  <c r="R2" i="1"/>
  <c r="L10" i="1"/>
  <c r="L8" i="1"/>
  <c r="L5" i="1"/>
  <c r="L3" i="1"/>
  <c r="I10" i="1"/>
  <c r="I5" i="1"/>
  <c r="I3" i="1"/>
  <c r="I4" i="1" s="1"/>
  <c r="I2" i="1"/>
  <c r="F10" i="1"/>
  <c r="F5" i="1"/>
  <c r="F3" i="1"/>
  <c r="F2" i="1"/>
  <c r="C8" i="1"/>
  <c r="L14" i="1"/>
  <c r="I14" i="9"/>
  <c r="O14" i="8"/>
  <c r="O14" i="9"/>
  <c r="L14" i="9"/>
  <c r="R14" i="9"/>
  <c r="I14" i="8"/>
  <c r="L14" i="8"/>
  <c r="F14" i="8"/>
  <c r="I14" i="1"/>
  <c r="R14" i="1"/>
  <c r="L25" i="9"/>
  <c r="F14" i="9"/>
  <c r="O14" i="1"/>
  <c r="R14" i="8"/>
  <c r="I38" i="8" l="1"/>
  <c r="L9" i="8"/>
  <c r="I38" i="1"/>
  <c r="O38" i="8"/>
  <c r="O4" i="1"/>
  <c r="L34" i="8"/>
  <c r="L35" i="8" s="1"/>
  <c r="L38" i="9"/>
  <c r="L4" i="8"/>
  <c r="L34" i="9"/>
  <c r="L35" i="9" s="1"/>
  <c r="L22" i="8"/>
  <c r="L23" i="8" s="1"/>
  <c r="B8" i="10"/>
  <c r="A9" i="10"/>
  <c r="L4" i="1"/>
  <c r="L9" i="1" s="1"/>
  <c r="L12" i="1" s="1"/>
  <c r="O9" i="9"/>
  <c r="O12" i="9" s="1"/>
  <c r="F9" i="9"/>
  <c r="R9" i="9"/>
  <c r="L9" i="9"/>
  <c r="F21" i="9"/>
  <c r="I21" i="9"/>
  <c r="F22" i="9"/>
  <c r="F23" i="9" s="1"/>
  <c r="R22" i="9"/>
  <c r="O34" i="9"/>
  <c r="O35" i="9" s="1"/>
  <c r="L21" i="9"/>
  <c r="I22" i="9"/>
  <c r="I23" i="9" s="1"/>
  <c r="R23" i="9"/>
  <c r="F34" i="9"/>
  <c r="F35" i="9" s="1"/>
  <c r="R34" i="9"/>
  <c r="R35" i="9" s="1"/>
  <c r="I9" i="9"/>
  <c r="R21" i="9"/>
  <c r="O22" i="9"/>
  <c r="O23" i="9" s="1"/>
  <c r="O21" i="9"/>
  <c r="O9" i="8"/>
  <c r="R9" i="8"/>
  <c r="I21" i="8"/>
  <c r="F22" i="8"/>
  <c r="F23" i="8" s="1"/>
  <c r="R22" i="8"/>
  <c r="R23" i="8" s="1"/>
  <c r="O34" i="8"/>
  <c r="O35" i="8" s="1"/>
  <c r="F21" i="8"/>
  <c r="R4" i="1"/>
  <c r="R38" i="1" s="1"/>
  <c r="L21" i="8"/>
  <c r="I22" i="8"/>
  <c r="I23" i="8" s="1"/>
  <c r="F34" i="8"/>
  <c r="F35" i="8" s="1"/>
  <c r="R34" i="8"/>
  <c r="R35" i="8" s="1"/>
  <c r="I9" i="8"/>
  <c r="R21" i="8"/>
  <c r="O22" i="8"/>
  <c r="O23" i="8" s="1"/>
  <c r="F4" i="1"/>
  <c r="O21" i="8"/>
  <c r="O9" i="1"/>
  <c r="L38" i="1"/>
  <c r="I12" i="1"/>
  <c r="I13" i="1" s="1"/>
  <c r="I15" i="1" s="1"/>
  <c r="F6" i="2"/>
  <c r="F38" i="8" s="1"/>
  <c r="C5" i="2"/>
  <c r="C4" i="2"/>
  <c r="C3" i="2"/>
  <c r="C2" i="2"/>
  <c r="B8" i="1"/>
  <c r="C6" i="1"/>
  <c r="B6" i="1"/>
  <c r="B4" i="1"/>
  <c r="L39" i="9"/>
  <c r="I39" i="8"/>
  <c r="I39" i="1"/>
  <c r="O39" i="8"/>
  <c r="F39" i="8"/>
  <c r="R39" i="1"/>
  <c r="O36" i="9" l="1"/>
  <c r="O38" i="9"/>
  <c r="O38" i="1"/>
  <c r="R38" i="9"/>
  <c r="R38" i="8"/>
  <c r="I16" i="1"/>
  <c r="L38" i="8"/>
  <c r="F38" i="9"/>
  <c r="I38" i="9"/>
  <c r="B9" i="10"/>
  <c r="A10" i="10"/>
  <c r="R9" i="1"/>
  <c r="R12" i="1" s="1"/>
  <c r="L12" i="9"/>
  <c r="L36" i="9"/>
  <c r="R12" i="9"/>
  <c r="R36" i="9"/>
  <c r="F36" i="9"/>
  <c r="F12" i="9"/>
  <c r="I12" i="9"/>
  <c r="I36" i="9"/>
  <c r="O16" i="9"/>
  <c r="O36" i="8"/>
  <c r="O12" i="8"/>
  <c r="F9" i="1"/>
  <c r="F36" i="1" s="1"/>
  <c r="L12" i="8"/>
  <c r="L36" i="8"/>
  <c r="R12" i="8"/>
  <c r="R36" i="8"/>
  <c r="F36" i="8"/>
  <c r="F12" i="8"/>
  <c r="I12" i="8"/>
  <c r="I36" i="8"/>
  <c r="I35" i="1"/>
  <c r="F34" i="1"/>
  <c r="F35" i="1" s="1"/>
  <c r="R34" i="1"/>
  <c r="R35" i="1" s="1"/>
  <c r="O34" i="1"/>
  <c r="O35" i="1" s="1"/>
  <c r="L34" i="1"/>
  <c r="L35" i="1" s="1"/>
  <c r="L36" i="1" s="1"/>
  <c r="R21" i="1"/>
  <c r="O21" i="1"/>
  <c r="L21" i="1"/>
  <c r="I21" i="1"/>
  <c r="O22" i="1"/>
  <c r="O23" i="1" s="1"/>
  <c r="L22" i="1"/>
  <c r="L23" i="1" s="1"/>
  <c r="I22" i="1"/>
  <c r="I23" i="1" s="1"/>
  <c r="R22" i="1"/>
  <c r="R23" i="1" s="1"/>
  <c r="R36" i="1"/>
  <c r="O36" i="1"/>
  <c r="O12" i="1"/>
  <c r="L16" i="1"/>
  <c r="L7" i="1" s="1"/>
  <c r="F39" i="9"/>
  <c r="R39" i="8"/>
  <c r="L39" i="8"/>
  <c r="I39" i="9"/>
  <c r="O39" i="9"/>
  <c r="R39" i="9"/>
  <c r="O37" i="1"/>
  <c r="L37" i="1"/>
  <c r="O39" i="1"/>
  <c r="R37" i="1"/>
  <c r="I37" i="1"/>
  <c r="O37" i="8"/>
  <c r="L37" i="8"/>
  <c r="F37" i="8"/>
  <c r="I37" i="8"/>
  <c r="R37" i="8"/>
  <c r="O37" i="9"/>
  <c r="R37" i="9"/>
  <c r="F37" i="9"/>
  <c r="L37" i="9"/>
  <c r="I37" i="9"/>
  <c r="L24" i="1"/>
  <c r="F12" i="1" l="1"/>
  <c r="F15" i="1" s="1"/>
  <c r="R43" i="1"/>
  <c r="L43" i="8"/>
  <c r="R43" i="8"/>
  <c r="I43" i="8"/>
  <c r="C16" i="8" s="1"/>
  <c r="L43" i="9"/>
  <c r="R43" i="9"/>
  <c r="C19" i="9" s="1"/>
  <c r="I43" i="9"/>
  <c r="C16" i="9" s="1"/>
  <c r="O43" i="9"/>
  <c r="L43" i="1"/>
  <c r="F43" i="8"/>
  <c r="C15" i="8" s="1"/>
  <c r="O43" i="8"/>
  <c r="F43" i="9"/>
  <c r="C15" i="9" s="1"/>
  <c r="O43" i="1"/>
  <c r="B10" i="10"/>
  <c r="A11" i="10"/>
  <c r="F43" i="1"/>
  <c r="C15" i="1" s="1"/>
  <c r="L16" i="9"/>
  <c r="I16" i="9"/>
  <c r="R16" i="9"/>
  <c r="O7" i="9"/>
  <c r="O17" i="9"/>
  <c r="O18" i="9" s="1"/>
  <c r="F16" i="9"/>
  <c r="C19" i="8"/>
  <c r="I16" i="8"/>
  <c r="R16" i="8"/>
  <c r="O16" i="8"/>
  <c r="F16" i="8"/>
  <c r="L16" i="8"/>
  <c r="C19" i="1"/>
  <c r="R16" i="1"/>
  <c r="O16" i="1"/>
  <c r="O7" i="1" s="1"/>
  <c r="L17" i="1"/>
  <c r="L18" i="1" s="1"/>
  <c r="I43" i="1"/>
  <c r="C16" i="1" s="1"/>
  <c r="I7" i="1"/>
  <c r="I17" i="1"/>
  <c r="I18" i="1" s="1"/>
  <c r="O25" i="9"/>
  <c r="O24" i="9"/>
  <c r="O24" i="1"/>
  <c r="O25" i="1"/>
  <c r="L26" i="1"/>
  <c r="I25" i="1"/>
  <c r="I24" i="1"/>
  <c r="L27" i="1" l="1"/>
  <c r="B11" i="10"/>
  <c r="A12" i="10"/>
  <c r="F16" i="1"/>
  <c r="F7" i="1" s="1"/>
  <c r="C17" i="1"/>
  <c r="C18" i="1"/>
  <c r="C17" i="9"/>
  <c r="C18" i="9"/>
  <c r="C18" i="8"/>
  <c r="C17" i="8"/>
  <c r="F7" i="9"/>
  <c r="F17" i="9"/>
  <c r="F18" i="9" s="1"/>
  <c r="R7" i="9"/>
  <c r="R17" i="9"/>
  <c r="R18" i="9" s="1"/>
  <c r="L7" i="9"/>
  <c r="L17" i="9"/>
  <c r="L18" i="9" s="1"/>
  <c r="I7" i="9"/>
  <c r="I17" i="9"/>
  <c r="I18" i="9" s="1"/>
  <c r="L17" i="8"/>
  <c r="L18" i="8" s="1"/>
  <c r="L7" i="8"/>
  <c r="I7" i="8"/>
  <c r="I17" i="8"/>
  <c r="I18" i="8" s="1"/>
  <c r="R7" i="8"/>
  <c r="R17" i="8"/>
  <c r="R18" i="8" s="1"/>
  <c r="O7" i="8"/>
  <c r="O17" i="8"/>
  <c r="O18" i="8" s="1"/>
  <c r="F7" i="8"/>
  <c r="F17" i="8"/>
  <c r="F18" i="8" s="1"/>
  <c r="R7" i="1"/>
  <c r="R17" i="1"/>
  <c r="R18" i="1" s="1"/>
  <c r="O17" i="1"/>
  <c r="L28" i="1"/>
  <c r="R24" i="9"/>
  <c r="R25" i="9"/>
  <c r="O26" i="9"/>
  <c r="L24" i="9"/>
  <c r="L26" i="9"/>
  <c r="I25" i="9"/>
  <c r="I24" i="9"/>
  <c r="F24" i="9"/>
  <c r="F25" i="9"/>
  <c r="R24" i="8"/>
  <c r="R25" i="8"/>
  <c r="O24" i="8"/>
  <c r="O25" i="8"/>
  <c r="L24" i="8"/>
  <c r="L25" i="8"/>
  <c r="I25" i="8"/>
  <c r="I24" i="8"/>
  <c r="F25" i="8"/>
  <c r="F24" i="8"/>
  <c r="R25" i="1"/>
  <c r="R24" i="1"/>
  <c r="O26" i="1"/>
  <c r="I26" i="1"/>
  <c r="F25" i="1"/>
  <c r="O27" i="9" l="1"/>
  <c r="L27" i="9"/>
  <c r="O27" i="1"/>
  <c r="L40" i="1"/>
  <c r="I27" i="1"/>
  <c r="B12" i="10"/>
  <c r="A13" i="10"/>
  <c r="F17" i="1"/>
  <c r="R26" i="9"/>
  <c r="O28" i="9"/>
  <c r="L28" i="9"/>
  <c r="I26" i="9"/>
  <c r="F26" i="9"/>
  <c r="R26" i="8"/>
  <c r="O26" i="8"/>
  <c r="L26" i="8"/>
  <c r="I26" i="8"/>
  <c r="F26" i="8"/>
  <c r="R26" i="1"/>
  <c r="O28" i="1"/>
  <c r="L41" i="1"/>
  <c r="I28" i="1"/>
  <c r="R27" i="9" l="1"/>
  <c r="O40" i="9"/>
  <c r="L40" i="9"/>
  <c r="I27" i="9"/>
  <c r="F27" i="9"/>
  <c r="R27" i="8"/>
  <c r="O27" i="8"/>
  <c r="L27" i="8"/>
  <c r="I27" i="8"/>
  <c r="F27" i="8"/>
  <c r="R27" i="1"/>
  <c r="O40" i="1"/>
  <c r="L44" i="1"/>
  <c r="B17" i="1" s="1"/>
  <c r="I40" i="1"/>
  <c r="B13" i="10"/>
  <c r="A14" i="10"/>
  <c r="F28" i="1"/>
  <c r="R28" i="9"/>
  <c r="O41" i="9"/>
  <c r="L41" i="9"/>
  <c r="I28" i="9"/>
  <c r="F28" i="9"/>
  <c r="R28" i="8"/>
  <c r="O28" i="8"/>
  <c r="L28" i="8"/>
  <c r="I28" i="8"/>
  <c r="F28" i="8"/>
  <c r="R28" i="1"/>
  <c r="O41" i="1"/>
  <c r="I41" i="1"/>
  <c r="R40" i="9" l="1"/>
  <c r="O44" i="9"/>
  <c r="B18" i="9" s="1"/>
  <c r="L44" i="9"/>
  <c r="B17" i="9" s="1"/>
  <c r="I40" i="9"/>
  <c r="F40" i="9"/>
  <c r="R40" i="8"/>
  <c r="O40" i="8"/>
  <c r="L40" i="8"/>
  <c r="I40" i="8"/>
  <c r="F40" i="8"/>
  <c r="R40" i="1"/>
  <c r="O44" i="1"/>
  <c r="B18" i="1" s="1"/>
  <c r="I44" i="1"/>
  <c r="B16" i="1" s="1"/>
  <c r="B14" i="10"/>
  <c r="A15" i="10"/>
  <c r="R41" i="9"/>
  <c r="I41" i="9"/>
  <c r="F41" i="9"/>
  <c r="R41" i="8"/>
  <c r="O41" i="8"/>
  <c r="L41" i="8"/>
  <c r="I41" i="8"/>
  <c r="F41" i="8"/>
  <c r="R41" i="1"/>
  <c r="R44" i="9" l="1"/>
  <c r="B19" i="9" s="1"/>
  <c r="I44" i="9"/>
  <c r="B16" i="9" s="1"/>
  <c r="F44" i="9"/>
  <c r="B15" i="9" s="1"/>
  <c r="C11" i="9" s="1"/>
  <c r="R44" i="8"/>
  <c r="B19" i="8" s="1"/>
  <c r="O44" i="8"/>
  <c r="B18" i="8" s="1"/>
  <c r="L44" i="8"/>
  <c r="B17" i="8" s="1"/>
  <c r="I44" i="8"/>
  <c r="B16" i="8" s="1"/>
  <c r="F44" i="8"/>
  <c r="B15" i="8" s="1"/>
  <c r="R44" i="1"/>
  <c r="B19" i="1" s="1"/>
  <c r="B15" i="1"/>
  <c r="B15" i="10"/>
  <c r="A16" i="10"/>
  <c r="C12" i="9" l="1"/>
  <c r="C12" i="8"/>
  <c r="A17" i="10"/>
  <c r="B17" i="10" s="1"/>
  <c r="B16" i="10"/>
</calcChain>
</file>

<file path=xl/sharedStrings.xml><?xml version="1.0" encoding="utf-8"?>
<sst xmlns="http://schemas.openxmlformats.org/spreadsheetml/2006/main" count="639" uniqueCount="98">
  <si>
    <t>WÜ1</t>
  </si>
  <si>
    <t>di</t>
  </si>
  <si>
    <t>da</t>
  </si>
  <si>
    <t>T</t>
  </si>
  <si>
    <t>F(Luft)</t>
  </si>
  <si>
    <t>F(H2O)</t>
  </si>
  <si>
    <t>Druck</t>
  </si>
  <si>
    <t>MBE</t>
  </si>
  <si>
    <t>-</t>
  </si>
  <si>
    <t>Anzeigefehler</t>
  </si>
  <si>
    <t>Spalte1</t>
  </si>
  <si>
    <t>wlf(Stahl) [kJ/m h K]</t>
  </si>
  <si>
    <t>Gaskonstante(Luft) [kJ/kg*K]</t>
  </si>
  <si>
    <t>Konstante</t>
  </si>
  <si>
    <t>Wert</t>
  </si>
  <si>
    <t>Di_</t>
  </si>
  <si>
    <t>Da_</t>
  </si>
  <si>
    <t>V(Luft) Norm [Nm^3/h]</t>
  </si>
  <si>
    <t>L [m]</t>
  </si>
  <si>
    <t>V(Luft) [m^3/h]</t>
  </si>
  <si>
    <t>Tw(Luft) [in °C]</t>
  </si>
  <si>
    <t>Ta(Luft) [in °C]</t>
  </si>
  <si>
    <t>Tw(Rohr) [in °C]</t>
  </si>
  <si>
    <t>Ta(Rohr) [in °C]</t>
  </si>
  <si>
    <t>V(H2O) [m^3/h]</t>
  </si>
  <si>
    <t>Druck [Pa]</t>
  </si>
  <si>
    <t>MW T (Luft) [in °C]</t>
  </si>
  <si>
    <t>m(Luft) in [kg/s]</t>
  </si>
  <si>
    <t>Q in [W] (aus Luft)</t>
  </si>
  <si>
    <t>m(H20) in [kg/s]</t>
  </si>
  <si>
    <t>Delta T(Wasser)</t>
  </si>
  <si>
    <t>J</t>
  </si>
  <si>
    <t>l/h</t>
  </si>
  <si>
    <t xml:space="preserve">Vw </t>
  </si>
  <si>
    <t>m³/h</t>
  </si>
  <si>
    <t xml:space="preserve">VL </t>
  </si>
  <si>
    <t>°C</t>
  </si>
  <si>
    <t>TWE</t>
  </si>
  <si>
    <t>TWA</t>
  </si>
  <si>
    <t>TLE</t>
  </si>
  <si>
    <t>TLA</t>
  </si>
  <si>
    <t>mm WS</t>
  </si>
  <si>
    <t>DP</t>
  </si>
  <si>
    <t>Rohr 1</t>
  </si>
  <si>
    <t>Rohr 2</t>
  </si>
  <si>
    <t>Rohr 3</t>
  </si>
  <si>
    <t>M12</t>
  </si>
  <si>
    <t>M23</t>
  </si>
  <si>
    <t>M11</t>
  </si>
  <si>
    <t xml:space="preserve">M13 </t>
  </si>
  <si>
    <t>M14</t>
  </si>
  <si>
    <t>M15</t>
  </si>
  <si>
    <t>M21</t>
  </si>
  <si>
    <t>m22</t>
  </si>
  <si>
    <t>M24</t>
  </si>
  <si>
    <t>M25</t>
  </si>
  <si>
    <t>M31</t>
  </si>
  <si>
    <t>M32</t>
  </si>
  <si>
    <t>M33</t>
  </si>
  <si>
    <t>M34</t>
  </si>
  <si>
    <t>M35</t>
  </si>
  <si>
    <t>LNTD [in K]</t>
  </si>
  <si>
    <t>Wasserseite</t>
  </si>
  <si>
    <t>d_h</t>
  </si>
  <si>
    <t>w [m/s]</t>
  </si>
  <si>
    <t>Re</t>
  </si>
  <si>
    <t>Pr</t>
  </si>
  <si>
    <t>Luftseite</t>
  </si>
  <si>
    <t>d_i</t>
  </si>
  <si>
    <t>alpha W,a</t>
  </si>
  <si>
    <t>Dichte L [kg/m^3]</t>
  </si>
  <si>
    <t>MW T ROHR</t>
  </si>
  <si>
    <t>Dichte W</t>
  </si>
  <si>
    <t>Nu (H2O)</t>
  </si>
  <si>
    <t>Nu (luft)</t>
  </si>
  <si>
    <t>A (Ringfläche) [in m^2]</t>
  </si>
  <si>
    <t>A (Kreisinnenfläche) [in m^2]</t>
  </si>
  <si>
    <t>ln(re^2*pr)</t>
  </si>
  <si>
    <t>ln(Nu)</t>
  </si>
  <si>
    <t>MP 1</t>
  </si>
  <si>
    <t>T(H2O) [in °C]</t>
  </si>
  <si>
    <t>MP 2</t>
  </si>
  <si>
    <t>MP 3</t>
  </si>
  <si>
    <t>MP 4</t>
  </si>
  <si>
    <t>MP 5</t>
  </si>
  <si>
    <t>a(Luft)=</t>
  </si>
  <si>
    <t>b(Luft)=</t>
  </si>
  <si>
    <t>yLuft</t>
  </si>
  <si>
    <t>Xluft</t>
  </si>
  <si>
    <t>Ua= Q/(dT*A) [W/(m^2*K)</t>
  </si>
  <si>
    <t>Alpha L,i</t>
  </si>
  <si>
    <t>Xluft ideal</t>
  </si>
  <si>
    <t>Yluft ideal</t>
  </si>
  <si>
    <t>XLuft</t>
  </si>
  <si>
    <t>cp(Luft) [J/kg*K]</t>
  </si>
  <si>
    <t>cp(H2O) [J/kg*K]</t>
  </si>
  <si>
    <t>WÜ2</t>
  </si>
  <si>
    <t>WÜ3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</si>
</sst>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\ &quot;m&quot;"/>
    <numFmt numFmtId="165" formatCode="0.0000\ &quot;m&quot;"/>
    <numFmt numFmtId="166" formatCode="0.00\ \K"/>
    <numFmt numFmtId="167" formatCode="0.00\ &quot;mbar&quot;"/>
    <numFmt numFmtId="168" formatCode="0.0000000"/>
    <numFmt numFmtId="169" formatCode="0.000"/>
    <numFmt numFmtId="170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166" fontId="0" fillId="0" borderId="0" xfId="0" applyNumberFormat="1"/>
    <xf numFmtId="167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8" fontId="0" fillId="0" borderId="3" xfId="0" applyNumberFormat="1" applyBorder="1"/>
    <xf numFmtId="0" fontId="1" fillId="0" borderId="1" xfId="0" applyFont="1" applyBorder="1"/>
    <xf numFmtId="0" fontId="1" fillId="0" borderId="4" xfId="0" applyFont="1" applyBorder="1"/>
    <xf numFmtId="0" fontId="1" fillId="0" borderId="6" xfId="0" applyFont="1" applyBorder="1"/>
    <xf numFmtId="0" fontId="1" fillId="2" borderId="4" xfId="0" applyFont="1" applyFill="1" applyBorder="1"/>
    <xf numFmtId="2" fontId="0" fillId="2" borderId="5" xfId="0" applyNumberFormat="1" applyFill="1" applyBorder="1"/>
    <xf numFmtId="0" fontId="0" fillId="0" borderId="0" xfId="0"/>
    <xf numFmtId="0" fontId="4" fillId="0" borderId="0" xfId="0" applyFont="1"/>
    <xf numFmtId="2" fontId="0" fillId="0" borderId="0" xfId="0" applyNumberFormat="1"/>
    <xf numFmtId="0" fontId="0" fillId="0" borderId="0" xfId="0"/>
    <xf numFmtId="0" fontId="0" fillId="0" borderId="0" xfId="0" applyFill="1"/>
    <xf numFmtId="2" fontId="0" fillId="0" borderId="5" xfId="0" applyNumberFormat="1" applyBorder="1"/>
    <xf numFmtId="0" fontId="1" fillId="0" borderId="0" xfId="0" applyFont="1" applyFill="1" applyBorder="1"/>
    <xf numFmtId="0" fontId="1" fillId="0" borderId="4" xfId="0" applyFont="1" applyFill="1" applyBorder="1"/>
    <xf numFmtId="0" fontId="0" fillId="0" borderId="0" xfId="0" applyFill="1" applyBorder="1"/>
    <xf numFmtId="2" fontId="0" fillId="0" borderId="5" xfId="0" applyNumberFormat="1" applyFill="1" applyBorder="1"/>
    <xf numFmtId="169" fontId="0" fillId="0" borderId="5" xfId="0" applyNumberFormat="1" applyFill="1" applyBorder="1"/>
    <xf numFmtId="1" fontId="0" fillId="0" borderId="5" xfId="0" applyNumberFormat="1" applyFill="1" applyBorder="1"/>
    <xf numFmtId="0" fontId="1" fillId="0" borderId="6" xfId="0" applyFont="1" applyFill="1" applyBorder="1"/>
    <xf numFmtId="0" fontId="1" fillId="3" borderId="4" xfId="0" applyFont="1" applyFill="1" applyBorder="1"/>
    <xf numFmtId="0" fontId="0" fillId="3" borderId="5" xfId="0" applyFont="1" applyFill="1" applyBorder="1"/>
    <xf numFmtId="11" fontId="0" fillId="3" borderId="5" xfId="0" applyNumberFormat="1" applyFill="1" applyBorder="1"/>
    <xf numFmtId="165" fontId="0" fillId="0" borderId="5" xfId="0" applyNumberFormat="1" applyFill="1" applyBorder="1"/>
    <xf numFmtId="1" fontId="1" fillId="0" borderId="4" xfId="0" applyNumberFormat="1" applyFont="1" applyFill="1" applyBorder="1"/>
    <xf numFmtId="0" fontId="3" fillId="0" borderId="0" xfId="0" applyFont="1" applyBorder="1"/>
    <xf numFmtId="0" fontId="0" fillId="0" borderId="3" xfId="0" applyFont="1" applyBorder="1"/>
    <xf numFmtId="0" fontId="0" fillId="0" borderId="5" xfId="0" applyFont="1" applyBorder="1"/>
    <xf numFmtId="0" fontId="0" fillId="0" borderId="8" xfId="0" applyFont="1" applyBorder="1"/>
    <xf numFmtId="164" fontId="0" fillId="0" borderId="0" xfId="0" applyNumberFormat="1" applyFont="1" applyFill="1" applyBorder="1"/>
    <xf numFmtId="165" fontId="0" fillId="0" borderId="0" xfId="0" applyNumberFormat="1" applyFont="1" applyFill="1" applyBorder="1"/>
    <xf numFmtId="2" fontId="0" fillId="0" borderId="5" xfId="0" applyNumberFormat="1" applyFont="1" applyBorder="1"/>
    <xf numFmtId="170" fontId="0" fillId="2" borderId="5" xfId="0" applyNumberFormat="1" applyFill="1" applyBorder="1"/>
    <xf numFmtId="169" fontId="0" fillId="0" borderId="8" xfId="0" applyNumberFormat="1" applyFont="1" applyFill="1" applyBorder="1"/>
    <xf numFmtId="169" fontId="0" fillId="0" borderId="0" xfId="0" applyNumberFormat="1"/>
    <xf numFmtId="0" fontId="1" fillId="4" borderId="4" xfId="0" applyFont="1" applyFill="1" applyBorder="1"/>
    <xf numFmtId="1" fontId="0" fillId="0" borderId="5" xfId="0" applyNumberFormat="1" applyBorder="1"/>
    <xf numFmtId="169" fontId="0" fillId="0" borderId="3" xfId="0" applyNumberFormat="1" applyBorder="1"/>
    <xf numFmtId="169" fontId="0" fillId="0" borderId="5" xfId="0" applyNumberFormat="1" applyBorder="1"/>
    <xf numFmtId="0" fontId="1" fillId="0" borderId="5" xfId="0" applyFont="1" applyBorder="1"/>
    <xf numFmtId="0" fontId="0" fillId="0" borderId="4" xfId="0" applyFill="1" applyBorder="1"/>
    <xf numFmtId="0" fontId="0" fillId="0" borderId="5" xfId="0" applyFill="1" applyBorder="1"/>
    <xf numFmtId="2" fontId="0" fillId="4" borderId="5" xfId="0" applyNumberFormat="1" applyFill="1" applyBorder="1"/>
    <xf numFmtId="0" fontId="0" fillId="4" borderId="0" xfId="0" applyFill="1" applyBorder="1"/>
    <xf numFmtId="0" fontId="0" fillId="4" borderId="0" xfId="0" applyFill="1"/>
    <xf numFmtId="2" fontId="0" fillId="3" borderId="5" xfId="0" applyNumberFormat="1" applyFill="1" applyBorder="1"/>
    <xf numFmtId="2" fontId="0" fillId="4" borderId="0" xfId="0" applyNumberFormat="1" applyFill="1"/>
    <xf numFmtId="0" fontId="0" fillId="0" borderId="0" xfId="0" applyAlignment="1">
      <alignment horizontal="center"/>
    </xf>
  </cellXfs>
  <cellStyles count="1">
    <cellStyle name="Standard" xfId="0" builtinId="0"/>
  </cellStyles>
  <dxfs count="6"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Rohr 1 Luft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WÜ1!$C$15:$C$19</c:f>
              <c:numCache>
                <c:formatCode>General</c:formatCode>
                <c:ptCount val="5"/>
                <c:pt idx="0">
                  <c:v>20.629737490807397</c:v>
                </c:pt>
                <c:pt idx="1">
                  <c:v>18.954627371893512</c:v>
                </c:pt>
                <c:pt idx="2">
                  <c:v>20.071665287769623</c:v>
                </c:pt>
                <c:pt idx="3">
                  <c:v>20.071665287769623</c:v>
                </c:pt>
                <c:pt idx="4">
                  <c:v>19.71929166216534</c:v>
                </c:pt>
              </c:numCache>
            </c:numRef>
          </c:xVal>
          <c:yVal>
            <c:numRef>
              <c:f>WÜ1!$B$15:$B$19</c:f>
              <c:numCache>
                <c:formatCode>General</c:formatCode>
                <c:ptCount val="5"/>
                <c:pt idx="0">
                  <c:v>4.4410436923490559</c:v>
                </c:pt>
                <c:pt idx="1">
                  <c:v>3.8014410971137149</c:v>
                </c:pt>
                <c:pt idx="2">
                  <c:v>4.2268335022604182</c:v>
                </c:pt>
                <c:pt idx="3">
                  <c:v>4.3775340186167444</c:v>
                </c:pt>
                <c:pt idx="4">
                  <c:v>4.0764209411132564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86-41F8-B94E-F22EC7BEE9D0}"/>
            </c:ext>
          </c:extLst>
        </c:ser>
        <c:ser>
          <c:idx val="0"/>
          <c:order val="1"/>
          <c:tx>
            <c:v>Rohr 2 Luft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WÜ2!$C$15:$C$19</c:f>
              <c:numCache>
                <c:formatCode>General</c:formatCode>
                <c:ptCount val="5"/>
                <c:pt idx="0">
                  <c:v>19.527793015800611</c:v>
                </c:pt>
                <c:pt idx="1">
                  <c:v>19.061051737377358</c:v>
                </c:pt>
                <c:pt idx="2">
                  <c:v>18.516449182889758</c:v>
                </c:pt>
                <c:pt idx="3">
                  <c:v>18.516449182889758</c:v>
                </c:pt>
                <c:pt idx="4">
                  <c:v>17.779064057564685</c:v>
                </c:pt>
              </c:numCache>
            </c:numRef>
          </c:xVal>
          <c:yVal>
            <c:numRef>
              <c:f>WÜ2!$B$15:$B$19</c:f>
              <c:numCache>
                <c:formatCode>General</c:formatCode>
                <c:ptCount val="5"/>
                <c:pt idx="0">
                  <c:v>3.9160855142075777</c:v>
                </c:pt>
                <c:pt idx="1">
                  <c:v>3.8200714670421938</c:v>
                </c:pt>
                <c:pt idx="2">
                  <c:v>3.5362071103052695</c:v>
                </c:pt>
                <c:pt idx="3">
                  <c:v>3.4459152929457124</c:v>
                </c:pt>
                <c:pt idx="4">
                  <c:v>3.181725099424487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86-41F8-B94E-F22EC7BEE9D0}"/>
            </c:ext>
          </c:extLst>
        </c:ser>
        <c:ser>
          <c:idx val="2"/>
          <c:order val="2"/>
          <c:tx>
            <c:v>Rohr 3 Luft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WÜ3!$C$15:$C$19</c:f>
              <c:numCache>
                <c:formatCode>General</c:formatCode>
                <c:ptCount val="5"/>
                <c:pt idx="0">
                  <c:v>20.616208698296699</c:v>
                </c:pt>
                <c:pt idx="1">
                  <c:v>20.146108290980091</c:v>
                </c:pt>
                <c:pt idx="2">
                  <c:v>19.730363511376176</c:v>
                </c:pt>
                <c:pt idx="3">
                  <c:v>19.730363511376176</c:v>
                </c:pt>
                <c:pt idx="4">
                  <c:v>18.767448379800381</c:v>
                </c:pt>
              </c:numCache>
            </c:numRef>
          </c:xVal>
          <c:yVal>
            <c:numRef>
              <c:f>WÜ3!$B$15:$B$19</c:f>
              <c:numCache>
                <c:formatCode>General</c:formatCode>
                <c:ptCount val="5"/>
                <c:pt idx="0">
                  <c:v>4.3257926562785212</c:v>
                </c:pt>
                <c:pt idx="1">
                  <c:v>4.1807718723809764</c:v>
                </c:pt>
                <c:pt idx="2">
                  <c:v>3.9632873963570994</c:v>
                </c:pt>
                <c:pt idx="3">
                  <c:v>3.7309732840024803</c:v>
                </c:pt>
                <c:pt idx="4">
                  <c:v>3.6419591870404506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B86-41F8-B94E-F22EC7BEE9D0}"/>
            </c:ext>
          </c:extLst>
        </c:ser>
        <c:ser>
          <c:idx val="3"/>
          <c:order val="3"/>
          <c:tx>
            <c:v>Ideal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18808347029573"/>
                  <c:y val="4.8580860105750273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Ideal!$A$5:$A$41</c:f>
              <c:numCache>
                <c:formatCode>General</c:formatCode>
                <c:ptCount val="37"/>
                <c:pt idx="0">
                  <c:v>10</c:v>
                </c:pt>
                <c:pt idx="1">
                  <c:v>10.5</c:v>
                </c:pt>
                <c:pt idx="2">
                  <c:v>11</c:v>
                </c:pt>
                <c:pt idx="3">
                  <c:v>11.5</c:v>
                </c:pt>
                <c:pt idx="4">
                  <c:v>12</c:v>
                </c:pt>
                <c:pt idx="5">
                  <c:v>12.5</c:v>
                </c:pt>
                <c:pt idx="6">
                  <c:v>13</c:v>
                </c:pt>
                <c:pt idx="7">
                  <c:v>13.5</c:v>
                </c:pt>
                <c:pt idx="8">
                  <c:v>14</c:v>
                </c:pt>
                <c:pt idx="9">
                  <c:v>14.5</c:v>
                </c:pt>
                <c:pt idx="10">
                  <c:v>15</c:v>
                </c:pt>
                <c:pt idx="11">
                  <c:v>15.5</c:v>
                </c:pt>
                <c:pt idx="12">
                  <c:v>16</c:v>
                </c:pt>
                <c:pt idx="13">
                  <c:v>16.5</c:v>
                </c:pt>
                <c:pt idx="14">
                  <c:v>17</c:v>
                </c:pt>
                <c:pt idx="15">
                  <c:v>17.5</c:v>
                </c:pt>
                <c:pt idx="16">
                  <c:v>18</c:v>
                </c:pt>
                <c:pt idx="17">
                  <c:v>18.5</c:v>
                </c:pt>
                <c:pt idx="18">
                  <c:v>19</c:v>
                </c:pt>
                <c:pt idx="19">
                  <c:v>19.5</c:v>
                </c:pt>
                <c:pt idx="20">
                  <c:v>20</c:v>
                </c:pt>
                <c:pt idx="21">
                  <c:v>20.5</c:v>
                </c:pt>
                <c:pt idx="22">
                  <c:v>21</c:v>
                </c:pt>
                <c:pt idx="23">
                  <c:v>21.5</c:v>
                </c:pt>
                <c:pt idx="24">
                  <c:v>22</c:v>
                </c:pt>
                <c:pt idx="25">
                  <c:v>22.5</c:v>
                </c:pt>
                <c:pt idx="26">
                  <c:v>23</c:v>
                </c:pt>
                <c:pt idx="27">
                  <c:v>23.5</c:v>
                </c:pt>
                <c:pt idx="28">
                  <c:v>24</c:v>
                </c:pt>
                <c:pt idx="29">
                  <c:v>24.5</c:v>
                </c:pt>
                <c:pt idx="30">
                  <c:v>25</c:v>
                </c:pt>
                <c:pt idx="31">
                  <c:v>25.5</c:v>
                </c:pt>
                <c:pt idx="32">
                  <c:v>26</c:v>
                </c:pt>
                <c:pt idx="33">
                  <c:v>26.5</c:v>
                </c:pt>
                <c:pt idx="34">
                  <c:v>27</c:v>
                </c:pt>
                <c:pt idx="35">
                  <c:v>27.5</c:v>
                </c:pt>
                <c:pt idx="36">
                  <c:v>28</c:v>
                </c:pt>
              </c:numCache>
            </c:numRef>
          </c:xVal>
          <c:yVal>
            <c:numRef>
              <c:f>Ideal!$B$5:$B$41</c:f>
              <c:numCache>
                <c:formatCode>General</c:formatCode>
                <c:ptCount val="37"/>
                <c:pt idx="0">
                  <c:v>0.22773893694701264</c:v>
                </c:pt>
                <c:pt idx="1">
                  <c:v>0.42773893694701276</c:v>
                </c:pt>
                <c:pt idx="2">
                  <c:v>0.62773893694701299</c:v>
                </c:pt>
                <c:pt idx="3">
                  <c:v>0.82773893694701328</c:v>
                </c:pt>
                <c:pt idx="4">
                  <c:v>1.0277389369470133</c:v>
                </c:pt>
                <c:pt idx="5">
                  <c:v>1.2277389369470126</c:v>
                </c:pt>
                <c:pt idx="6">
                  <c:v>1.4277389369470128</c:v>
                </c:pt>
                <c:pt idx="7">
                  <c:v>1.627738936947013</c:v>
                </c:pt>
                <c:pt idx="8">
                  <c:v>1.8277389369470132</c:v>
                </c:pt>
                <c:pt idx="9">
                  <c:v>2.0277389369470136</c:v>
                </c:pt>
                <c:pt idx="10">
                  <c:v>2.2277389369470124</c:v>
                </c:pt>
                <c:pt idx="11">
                  <c:v>2.4277389369470126</c:v>
                </c:pt>
                <c:pt idx="12">
                  <c:v>2.6277389369470128</c:v>
                </c:pt>
                <c:pt idx="13">
                  <c:v>2.8277389369470129</c:v>
                </c:pt>
                <c:pt idx="14">
                  <c:v>3.0277389369470136</c:v>
                </c:pt>
                <c:pt idx="15">
                  <c:v>3.2277389369470124</c:v>
                </c:pt>
                <c:pt idx="16">
                  <c:v>3.4277389369470126</c:v>
                </c:pt>
                <c:pt idx="17">
                  <c:v>3.6277389369470128</c:v>
                </c:pt>
                <c:pt idx="18">
                  <c:v>3.8277389369470134</c:v>
                </c:pt>
                <c:pt idx="19">
                  <c:v>4.0277389369470136</c:v>
                </c:pt>
                <c:pt idx="20">
                  <c:v>4.2277389369470129</c:v>
                </c:pt>
                <c:pt idx="21">
                  <c:v>4.4277389369470139</c:v>
                </c:pt>
                <c:pt idx="22">
                  <c:v>4.6277389369470132</c:v>
                </c:pt>
                <c:pt idx="23">
                  <c:v>4.8277389369470125</c:v>
                </c:pt>
                <c:pt idx="24">
                  <c:v>5.0277389369470136</c:v>
                </c:pt>
                <c:pt idx="25">
                  <c:v>5.2277389369470129</c:v>
                </c:pt>
                <c:pt idx="26">
                  <c:v>5.4277389369470139</c:v>
                </c:pt>
                <c:pt idx="27">
                  <c:v>5.6277389369470132</c:v>
                </c:pt>
                <c:pt idx="28">
                  <c:v>5.8277389369470143</c:v>
                </c:pt>
                <c:pt idx="29">
                  <c:v>6.0277389369470136</c:v>
                </c:pt>
                <c:pt idx="30">
                  <c:v>6.2277389369470129</c:v>
                </c:pt>
                <c:pt idx="31">
                  <c:v>6.4277389369470139</c:v>
                </c:pt>
                <c:pt idx="32">
                  <c:v>6.6277389369470132</c:v>
                </c:pt>
                <c:pt idx="33">
                  <c:v>6.8277389369470143</c:v>
                </c:pt>
                <c:pt idx="34">
                  <c:v>7.0277389369470136</c:v>
                </c:pt>
                <c:pt idx="35">
                  <c:v>7.2277389369470129</c:v>
                </c:pt>
                <c:pt idx="36">
                  <c:v>7.4277389369470139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6B2-4FA7-91CE-603040F57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472319"/>
        <c:axId val="1435442543"/>
        <c:extLst/>
      </c:scatterChart>
      <c:valAx>
        <c:axId val="1427472319"/>
        <c:scaling>
          <c:orientation val="minMax"/>
          <c:max val="21"/>
          <c:min val="1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5442543"/>
        <c:crosses val="autoZero"/>
        <c:crossBetween val="midCat"/>
      </c:valAx>
      <c:valAx>
        <c:axId val="1435442543"/>
        <c:scaling>
          <c:orientation val="minMax"/>
          <c:max val="5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472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6158FBC-10BA-49F5-AF0D-AA364E842919}">
  <sheetPr codeName="Diagramm6"/>
  <sheetViews>
    <sheetView zoomScale="80" workbookViewId="0"/>
  </sheetViews>
  <pageMargins left="0.7" right="0.7" top="0.78740157499999996" bottom="0.78740157499999996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8781" cy="6012656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96596B59-2D73-49DC-95BD-6A51350E0D1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8ED4C6-D24C-4910-8726-E73C6442668E}" name="Tabelle6" displayName="Tabelle6" ref="C2:R9" totalsRowShown="0">
  <autoFilter ref="C2:R9" xr:uid="{353A4BB9-3A54-42A8-B82D-D23885ED8783}"/>
  <tableColumns count="16">
    <tableColumn id="1" xr3:uid="{4D0ED827-FCBF-4850-8A56-BB202A3C0A3E}" name="Spalte1" dataDxfId="5"/>
    <tableColumn id="2" xr3:uid="{FE379B7B-1071-4558-AEED-B217EE3334E2}" name="M11"/>
    <tableColumn id="3" xr3:uid="{804F69E0-4CCB-4EF1-85A0-DBBFCF1966F2}" name="M12"/>
    <tableColumn id="4" xr3:uid="{B2B19C0E-FF86-404F-B7C4-50FD51860B82}" name="M13 "/>
    <tableColumn id="5" xr3:uid="{5E434D21-E7B7-4565-A67B-D426F5D831D9}" name="M14"/>
    <tableColumn id="6" xr3:uid="{912501C2-91F0-4A2B-9A0C-F487860ED4A8}" name="M15" dataDxfId="4"/>
    <tableColumn id="7" xr3:uid="{ABB75F19-D492-4A2F-BE14-9E873F54EBAD}" name="M21" dataDxfId="3"/>
    <tableColumn id="8" xr3:uid="{B5167C63-3380-4655-A6A1-8E1A827D9BB2}" name="m22"/>
    <tableColumn id="9" xr3:uid="{3157C3BB-541D-454B-B6CB-4AE09E26253C}" name="M23"/>
    <tableColumn id="10" xr3:uid="{3189FBC8-7C92-4501-BBFC-912EA7DA5E18}" name="M24"/>
    <tableColumn id="11" xr3:uid="{81D13357-C730-46B3-BBFA-8FB9BC970CC4}" name="M25" dataDxfId="2"/>
    <tableColumn id="12" xr3:uid="{D50A0E5B-9CBD-45E6-BB48-7C759DA2D82D}" name="M31" dataDxfId="1"/>
    <tableColumn id="13" xr3:uid="{559FD96E-B443-44AC-8291-1DBCB498BF7B}" name="M32"/>
    <tableColumn id="14" xr3:uid="{33854DB3-5781-489B-808D-49F21E60736A}" name="M33"/>
    <tableColumn id="15" xr3:uid="{6780D28D-8E5B-4E09-8976-6BCCC7DA8E3E}" name="M34"/>
    <tableColumn id="16" xr3:uid="{9692E556-623B-4C22-8E82-36B30547F9AF}" name="M35" dataDxfId="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AD6F93-0A41-4C59-AD3D-CBD56685793B}" name="Tabelle2" displayName="Tabelle2" ref="A1:C5" totalsRowShown="0">
  <autoFilter ref="A1:C5" xr:uid="{79BF0DE9-014F-40C9-8AFC-6178E0E6DDAA}"/>
  <tableColumns count="3">
    <tableColumn id="1" xr3:uid="{FD8EB7CB-DDB2-467E-AA24-C7A7A139FB16}" name="Spalte1"/>
    <tableColumn id="2" xr3:uid="{6F61CF7B-380E-467A-B5C1-39A962CB30E0}" name="MBE"/>
    <tableColumn id="3" xr3:uid="{0AF4A6BE-F8B3-49E0-8A33-EA838B43288F}" name="Anzeigefehler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5589056-AEAF-411E-8B47-2755866AF59D}" name="Tabelle3" displayName="Tabelle3" ref="E1:F6" totalsRowShown="0">
  <autoFilter ref="E1:F6" xr:uid="{C73FEF20-26C7-46EF-9F0E-B5251FFABFB1}"/>
  <tableColumns count="2">
    <tableColumn id="1" xr3:uid="{6481E62F-4F67-419E-9350-5BDD564C1EE9}" name="Konstante"/>
    <tableColumn id="2" xr3:uid="{AA6A821F-C9A6-4C13-91C8-76F2FF510D83}" name="Wer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B815B-645D-49DE-A768-2B1E85671B0C}">
  <sheetPr codeName="Tabelle5"/>
  <dimension ref="A1:T9"/>
  <sheetViews>
    <sheetView zoomScale="80" zoomScaleNormal="80" workbookViewId="0">
      <selection activeCell="N23" sqref="N23"/>
    </sheetView>
  </sheetViews>
  <sheetFormatPr baseColWidth="10" defaultRowHeight="15" x14ac:dyDescent="0.25"/>
  <sheetData>
    <row r="1" spans="1:20" ht="15.75" thickBot="1" x14ac:dyDescent="0.3">
      <c r="D1" s="58" t="s">
        <v>43</v>
      </c>
      <c r="E1" s="58"/>
      <c r="F1" s="58"/>
      <c r="G1" s="58"/>
      <c r="H1" s="58"/>
      <c r="I1" s="58" t="s">
        <v>44</v>
      </c>
      <c r="J1" s="58"/>
      <c r="K1" s="58"/>
      <c r="L1" s="58"/>
      <c r="M1" s="58"/>
      <c r="N1" s="58" t="s">
        <v>45</v>
      </c>
      <c r="O1" s="58"/>
      <c r="P1" s="58"/>
      <c r="Q1" s="58"/>
      <c r="R1" s="58"/>
    </row>
    <row r="2" spans="1:20" ht="18.75" x14ac:dyDescent="0.3">
      <c r="A2" s="19" t="s">
        <v>31</v>
      </c>
      <c r="B2" s="18"/>
      <c r="C2" s="3" t="s">
        <v>10</v>
      </c>
      <c r="D2" s="4" t="s">
        <v>48</v>
      </c>
      <c r="E2" s="4" t="s">
        <v>46</v>
      </c>
      <c r="F2" s="4" t="s">
        <v>49</v>
      </c>
      <c r="G2" s="4" t="s">
        <v>50</v>
      </c>
      <c r="H2" s="5" t="s">
        <v>51</v>
      </c>
      <c r="I2" s="3" t="s">
        <v>52</v>
      </c>
      <c r="J2" s="4" t="s">
        <v>53</v>
      </c>
      <c r="K2" s="4" t="s">
        <v>47</v>
      </c>
      <c r="L2" s="4" t="s">
        <v>54</v>
      </c>
      <c r="M2" s="5" t="s">
        <v>55</v>
      </c>
      <c r="N2" s="3" t="s">
        <v>56</v>
      </c>
      <c r="O2" s="4" t="s">
        <v>57</v>
      </c>
      <c r="P2" s="4" t="s">
        <v>58</v>
      </c>
      <c r="Q2" s="4" t="s">
        <v>59</v>
      </c>
      <c r="R2" s="5" t="s">
        <v>60</v>
      </c>
      <c r="T2" s="22"/>
    </row>
    <row r="3" spans="1:20" x14ac:dyDescent="0.25">
      <c r="A3" s="18" t="s">
        <v>32</v>
      </c>
      <c r="B3" s="18"/>
      <c r="C3" s="6" t="s">
        <v>33</v>
      </c>
      <c r="D3" s="7">
        <v>385</v>
      </c>
      <c r="E3" s="7">
        <v>401</v>
      </c>
      <c r="F3" s="7">
        <v>418</v>
      </c>
      <c r="G3" s="7">
        <v>422</v>
      </c>
      <c r="H3" s="8">
        <v>431</v>
      </c>
      <c r="I3" s="6">
        <v>422</v>
      </c>
      <c r="J3" s="7">
        <v>425</v>
      </c>
      <c r="K3" s="7">
        <v>412</v>
      </c>
      <c r="L3" s="7">
        <v>420</v>
      </c>
      <c r="M3" s="8">
        <v>435</v>
      </c>
      <c r="N3" s="6">
        <v>431</v>
      </c>
      <c r="O3" s="7">
        <v>434</v>
      </c>
      <c r="P3" s="7">
        <v>413</v>
      </c>
      <c r="Q3" s="7">
        <v>421</v>
      </c>
      <c r="R3" s="8">
        <v>417</v>
      </c>
      <c r="T3" s="20"/>
    </row>
    <row r="4" spans="1:20" x14ac:dyDescent="0.25">
      <c r="A4" s="18" t="s">
        <v>34</v>
      </c>
      <c r="B4" s="18"/>
      <c r="C4" s="6" t="s">
        <v>35</v>
      </c>
      <c r="D4" s="7">
        <v>25.5</v>
      </c>
      <c r="E4" s="7">
        <v>11</v>
      </c>
      <c r="F4" s="7">
        <v>19.100000000000001</v>
      </c>
      <c r="G4" s="7">
        <v>22.1</v>
      </c>
      <c r="H4" s="8">
        <v>16</v>
      </c>
      <c r="I4" s="6">
        <v>25.2</v>
      </c>
      <c r="J4" s="7">
        <v>19.899999999999999</v>
      </c>
      <c r="K4" s="7">
        <v>15.1</v>
      </c>
      <c r="L4" s="7">
        <v>12.3</v>
      </c>
      <c r="M4" s="8">
        <v>10.4</v>
      </c>
      <c r="N4" s="6">
        <v>24.9</v>
      </c>
      <c r="O4" s="7">
        <v>19.7</v>
      </c>
      <c r="P4" s="7">
        <v>16</v>
      </c>
      <c r="Q4" s="7">
        <v>12.1</v>
      </c>
      <c r="R4" s="8">
        <v>9.9</v>
      </c>
      <c r="T4" s="20"/>
    </row>
    <row r="5" spans="1:20" x14ac:dyDescent="0.25">
      <c r="A5" s="18" t="s">
        <v>36</v>
      </c>
      <c r="B5" s="18"/>
      <c r="C5" s="6" t="s">
        <v>37</v>
      </c>
      <c r="D5" s="7"/>
      <c r="E5" s="7"/>
      <c r="F5" s="7"/>
      <c r="G5" s="7"/>
      <c r="H5" s="8"/>
      <c r="I5" s="6"/>
      <c r="J5" s="7"/>
      <c r="K5" s="7"/>
      <c r="L5" s="7"/>
      <c r="M5" s="8"/>
      <c r="N5" s="6"/>
      <c r="O5" s="7"/>
      <c r="P5" s="7"/>
      <c r="Q5" s="7"/>
      <c r="R5" s="8"/>
      <c r="T5" s="20"/>
    </row>
    <row r="6" spans="1:20" x14ac:dyDescent="0.25">
      <c r="A6" s="18" t="s">
        <v>36</v>
      </c>
      <c r="B6" s="18"/>
      <c r="C6" s="6" t="s">
        <v>38</v>
      </c>
      <c r="D6" s="7">
        <v>54.5</v>
      </c>
      <c r="E6" s="7">
        <v>57</v>
      </c>
      <c r="F6" s="7">
        <v>50.58</v>
      </c>
      <c r="G6" s="7">
        <v>55.1</v>
      </c>
      <c r="H6" s="8">
        <v>55.83</v>
      </c>
      <c r="I6" s="6">
        <v>54.7</v>
      </c>
      <c r="J6" s="7">
        <v>54.7</v>
      </c>
      <c r="K6" s="7">
        <v>54.72</v>
      </c>
      <c r="L6" s="7">
        <v>53.8</v>
      </c>
      <c r="M6" s="8">
        <v>54.2</v>
      </c>
      <c r="N6" s="6">
        <v>55.97</v>
      </c>
      <c r="O6" s="7">
        <v>56.3</v>
      </c>
      <c r="P6" s="7">
        <v>55.8</v>
      </c>
      <c r="Q6" s="7">
        <v>55.7</v>
      </c>
      <c r="R6" s="8">
        <v>55.1</v>
      </c>
      <c r="T6" s="20"/>
    </row>
    <row r="7" spans="1:20" x14ac:dyDescent="0.25">
      <c r="A7" s="18" t="s">
        <v>36</v>
      </c>
      <c r="B7" s="18"/>
      <c r="C7" s="6" t="s">
        <v>39</v>
      </c>
      <c r="D7" s="7">
        <v>24.51</v>
      </c>
      <c r="E7" s="7">
        <v>20.41</v>
      </c>
      <c r="F7" s="7">
        <v>20.21</v>
      </c>
      <c r="G7" s="7">
        <v>18.09</v>
      </c>
      <c r="H7" s="8">
        <v>17.86</v>
      </c>
      <c r="I7" s="6">
        <v>26.42</v>
      </c>
      <c r="J7" s="7">
        <v>24.51</v>
      </c>
      <c r="K7" s="7">
        <v>22.81</v>
      </c>
      <c r="L7" s="7">
        <v>21.52</v>
      </c>
      <c r="M7" s="8">
        <v>20.53</v>
      </c>
      <c r="N7" s="6">
        <v>20.51</v>
      </c>
      <c r="O7" s="7">
        <v>20.399999999999999</v>
      </c>
      <c r="P7" s="7">
        <v>20.420000000000002</v>
      </c>
      <c r="Q7" s="7">
        <v>20.39</v>
      </c>
      <c r="R7" s="8">
        <v>20.36</v>
      </c>
      <c r="T7" s="20"/>
    </row>
    <row r="8" spans="1:20" x14ac:dyDescent="0.25">
      <c r="A8" s="18" t="s">
        <v>36</v>
      </c>
      <c r="B8" s="18"/>
      <c r="C8" s="6" t="s">
        <v>40</v>
      </c>
      <c r="D8" s="7">
        <v>37.92</v>
      </c>
      <c r="E8" s="7">
        <v>39.520000000000003</v>
      </c>
      <c r="F8" s="7">
        <v>34.54</v>
      </c>
      <c r="G8" s="7">
        <v>35.54</v>
      </c>
      <c r="H8" s="8">
        <v>36.19</v>
      </c>
      <c r="I8" s="6">
        <v>35</v>
      </c>
      <c r="J8" s="7">
        <v>34.78</v>
      </c>
      <c r="K8" s="7">
        <v>33.61</v>
      </c>
      <c r="L8" s="7">
        <v>33.49</v>
      </c>
      <c r="M8" s="8">
        <v>32.67</v>
      </c>
      <c r="N8" s="6">
        <v>28.82</v>
      </c>
      <c r="O8" s="7">
        <v>29.54</v>
      </c>
      <c r="P8" s="7">
        <v>29.4</v>
      </c>
      <c r="Q8" s="7">
        <v>29.8</v>
      </c>
      <c r="R8" s="8">
        <v>30.53</v>
      </c>
      <c r="T8" s="20"/>
    </row>
    <row r="9" spans="1:20" ht="15.75" thickBot="1" x14ac:dyDescent="0.3">
      <c r="A9" s="18" t="s">
        <v>41</v>
      </c>
      <c r="B9" s="18"/>
      <c r="C9" s="9" t="s">
        <v>42</v>
      </c>
      <c r="D9" s="10">
        <v>0</v>
      </c>
      <c r="E9" s="10">
        <v>0</v>
      </c>
      <c r="F9" s="10">
        <v>0</v>
      </c>
      <c r="G9" s="10">
        <v>0</v>
      </c>
      <c r="H9" s="11">
        <v>0</v>
      </c>
      <c r="I9" s="9">
        <v>0</v>
      </c>
      <c r="J9" s="10">
        <v>0</v>
      </c>
      <c r="K9" s="10">
        <v>0</v>
      </c>
      <c r="L9" s="10">
        <v>0</v>
      </c>
      <c r="M9" s="11">
        <v>0</v>
      </c>
      <c r="N9" s="9">
        <v>0</v>
      </c>
      <c r="O9" s="10">
        <v>0</v>
      </c>
      <c r="P9" s="10">
        <v>0</v>
      </c>
      <c r="Q9" s="10">
        <v>0</v>
      </c>
      <c r="R9" s="11">
        <v>0</v>
      </c>
      <c r="T9" s="20"/>
    </row>
  </sheetData>
  <mergeCells count="3">
    <mergeCell ref="D1:H1"/>
    <mergeCell ref="I1:M1"/>
    <mergeCell ref="N1:R1"/>
  </mergeCells>
  <pageMargins left="0.7" right="0.7" top="0.78740157499999996" bottom="0.78740157499999996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83856-C2D7-4815-96A4-1049EC377409}">
  <sheetPr codeName="Tabelle1"/>
  <dimension ref="A1:F6"/>
  <sheetViews>
    <sheetView workbookViewId="0">
      <selection activeCell="F4" sqref="F4"/>
    </sheetView>
  </sheetViews>
  <sheetFormatPr baseColWidth="10" defaultRowHeight="15" x14ac:dyDescent="0.25"/>
  <cols>
    <col min="3" max="3" width="15.7109375" customWidth="1"/>
    <col min="5" max="5" width="26.85546875" bestFit="1" customWidth="1"/>
    <col min="6" max="6" width="12" bestFit="1" customWidth="1"/>
  </cols>
  <sheetData>
    <row r="1" spans="1:6" x14ac:dyDescent="0.25">
      <c r="A1" t="s">
        <v>10</v>
      </c>
      <c r="B1" t="s">
        <v>7</v>
      </c>
      <c r="C1" t="s">
        <v>9</v>
      </c>
      <c r="E1" t="s">
        <v>13</v>
      </c>
      <c r="F1" t="s">
        <v>14</v>
      </c>
    </row>
    <row r="2" spans="1:6" x14ac:dyDescent="0.25">
      <c r="A2" t="s">
        <v>3</v>
      </c>
      <c r="B2" t="s">
        <v>8</v>
      </c>
      <c r="C2" s="1">
        <f>0.01</f>
        <v>0.01</v>
      </c>
      <c r="E2" t="s">
        <v>12</v>
      </c>
      <c r="F2">
        <v>0.28999999999999998</v>
      </c>
    </row>
    <row r="3" spans="1:6" x14ac:dyDescent="0.25">
      <c r="A3" t="s">
        <v>5</v>
      </c>
      <c r="C3">
        <f>B3*0.04</f>
        <v>0</v>
      </c>
      <c r="E3" t="s">
        <v>94</v>
      </c>
      <c r="F3">
        <f>1000*1.005</f>
        <v>1004.9999999999999</v>
      </c>
    </row>
    <row r="4" spans="1:6" x14ac:dyDescent="0.25">
      <c r="A4" t="s">
        <v>4</v>
      </c>
      <c r="C4">
        <f>B4*0.02</f>
        <v>0</v>
      </c>
      <c r="E4" t="s">
        <v>95</v>
      </c>
      <c r="F4">
        <f>1000*4.185</f>
        <v>4185</v>
      </c>
    </row>
    <row r="5" spans="1:6" x14ac:dyDescent="0.25">
      <c r="A5" t="s">
        <v>6</v>
      </c>
      <c r="B5" t="s">
        <v>8</v>
      </c>
      <c r="C5" s="2">
        <f>0.1</f>
        <v>0.1</v>
      </c>
      <c r="E5" t="s">
        <v>11</v>
      </c>
      <c r="F5">
        <f>56/3.6</f>
        <v>15.555555555555555</v>
      </c>
    </row>
    <row r="6" spans="1:6" x14ac:dyDescent="0.25">
      <c r="E6" t="s">
        <v>25</v>
      </c>
      <c r="F6">
        <f>1.01325*10^5</f>
        <v>101325</v>
      </c>
    </row>
  </sheetData>
  <pageMargins left="0.7" right="0.7" top="0.78740157499999996" bottom="0.78740157499999996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BC964-BC47-4B8B-8008-FFFCE9163440}">
  <sheetPr codeName="Tabelle2"/>
  <dimension ref="A1:R44"/>
  <sheetViews>
    <sheetView topLeftCell="A17" zoomScale="80" zoomScaleNormal="80" workbookViewId="0">
      <selection activeCell="C13" sqref="C13"/>
    </sheetView>
  </sheetViews>
  <sheetFormatPr baseColWidth="10" defaultRowHeight="15" x14ac:dyDescent="0.25"/>
  <cols>
    <col min="5" max="5" width="27.42578125" bestFit="1" customWidth="1"/>
    <col min="6" max="6" width="13" bestFit="1" customWidth="1"/>
    <col min="7" max="7" width="14.42578125" customWidth="1"/>
    <col min="8" max="8" width="24.140625" style="21" bestFit="1" customWidth="1"/>
    <col min="9" max="9" width="17" style="21" bestFit="1" customWidth="1"/>
    <col min="11" max="11" width="24.140625" style="21" bestFit="1" customWidth="1"/>
    <col min="12" max="12" width="17" style="21" bestFit="1" customWidth="1"/>
    <col min="14" max="14" width="24.140625" style="21" bestFit="1" customWidth="1"/>
    <col min="15" max="15" width="17" style="21" bestFit="1" customWidth="1"/>
    <col min="16" max="16" width="14.7109375" customWidth="1"/>
    <col min="17" max="17" width="27.28515625" bestFit="1" customWidth="1"/>
    <col min="18" max="18" width="17.85546875" bestFit="1" customWidth="1"/>
  </cols>
  <sheetData>
    <row r="1" spans="1:18" ht="19.5" thickBot="1" x14ac:dyDescent="0.35">
      <c r="A1" t="s">
        <v>0</v>
      </c>
      <c r="E1" s="36" t="s">
        <v>79</v>
      </c>
      <c r="F1" s="4"/>
      <c r="G1" s="4"/>
      <c r="H1" s="36" t="s">
        <v>81</v>
      </c>
      <c r="I1" s="4"/>
      <c r="K1" s="36" t="s">
        <v>82</v>
      </c>
      <c r="L1" s="4"/>
      <c r="M1" s="7"/>
      <c r="N1" s="36" t="s">
        <v>83</v>
      </c>
      <c r="O1" s="4"/>
      <c r="Q1" s="36" t="s">
        <v>84</v>
      </c>
      <c r="R1" s="4"/>
    </row>
    <row r="2" spans="1:18" x14ac:dyDescent="0.25">
      <c r="E2" s="13" t="s">
        <v>20</v>
      </c>
      <c r="F2" s="37">
        <f>Daten!D8</f>
        <v>37.92</v>
      </c>
      <c r="H2" s="13" t="s">
        <v>20</v>
      </c>
      <c r="I2" s="37">
        <f>Daten!E8</f>
        <v>39.520000000000003</v>
      </c>
      <c r="K2" s="13" t="s">
        <v>20</v>
      </c>
      <c r="L2" s="37">
        <f>Daten!F8</f>
        <v>34.54</v>
      </c>
      <c r="M2" s="7"/>
      <c r="N2" s="13" t="s">
        <v>20</v>
      </c>
      <c r="O2" s="37">
        <f>Daten!G8</f>
        <v>35.54</v>
      </c>
      <c r="Q2" s="13" t="s">
        <v>20</v>
      </c>
      <c r="R2" s="37">
        <f>Daten!H8</f>
        <v>36.19</v>
      </c>
    </row>
    <row r="3" spans="1:18" x14ac:dyDescent="0.25">
      <c r="B3" s="24" t="s">
        <v>18</v>
      </c>
      <c r="C3" s="26"/>
      <c r="E3" s="14" t="s">
        <v>21</v>
      </c>
      <c r="F3" s="38">
        <f>Daten!D7</f>
        <v>24.51</v>
      </c>
      <c r="H3" s="14" t="s">
        <v>21</v>
      </c>
      <c r="I3" s="38">
        <f>Daten!E7</f>
        <v>20.41</v>
      </c>
      <c r="K3" s="14" t="s">
        <v>21</v>
      </c>
      <c r="L3" s="38">
        <f>Daten!F7</f>
        <v>20.21</v>
      </c>
      <c r="M3" s="7"/>
      <c r="N3" s="14" t="s">
        <v>21</v>
      </c>
      <c r="O3" s="38">
        <f>Daten!G7</f>
        <v>18.09</v>
      </c>
      <c r="Q3" s="14" t="s">
        <v>21</v>
      </c>
      <c r="R3" s="38">
        <f>Daten!H7</f>
        <v>17.86</v>
      </c>
    </row>
    <row r="4" spans="1:18" x14ac:dyDescent="0.25">
      <c r="B4" s="40">
        <f>800*10^-3</f>
        <v>0.8</v>
      </c>
      <c r="C4" s="26"/>
      <c r="E4" s="14" t="s">
        <v>26</v>
      </c>
      <c r="F4" s="38">
        <f>AVERAGE(F2:F3)</f>
        <v>31.215000000000003</v>
      </c>
      <c r="H4" s="14" t="s">
        <v>26</v>
      </c>
      <c r="I4" s="38">
        <f>AVERAGE(I2:I3)</f>
        <v>29.965000000000003</v>
      </c>
      <c r="K4" s="14" t="s">
        <v>26</v>
      </c>
      <c r="L4" s="38">
        <f>AVERAGE(L2:L3)</f>
        <v>27.375</v>
      </c>
      <c r="M4" s="7"/>
      <c r="N4" s="14" t="s">
        <v>26</v>
      </c>
      <c r="O4" s="38">
        <f>AVERAGE(O2:O3)</f>
        <v>26.814999999999998</v>
      </c>
      <c r="Q4" s="14" t="s">
        <v>26</v>
      </c>
      <c r="R4" s="38">
        <f>AVERAGE(R2:R3)</f>
        <v>27.024999999999999</v>
      </c>
    </row>
    <row r="5" spans="1:18" x14ac:dyDescent="0.25">
      <c r="B5" s="24" t="s">
        <v>1</v>
      </c>
      <c r="C5" s="24" t="s">
        <v>2</v>
      </c>
      <c r="E5" s="14" t="s">
        <v>22</v>
      </c>
      <c r="F5" s="38">
        <f>Daten!D6</f>
        <v>54.5</v>
      </c>
      <c r="H5" s="14" t="s">
        <v>22</v>
      </c>
      <c r="I5" s="38">
        <f>Daten!E6</f>
        <v>57</v>
      </c>
      <c r="K5" s="14" t="s">
        <v>22</v>
      </c>
      <c r="L5" s="38">
        <f>Daten!F6</f>
        <v>50.58</v>
      </c>
      <c r="M5" s="7"/>
      <c r="N5" s="14" t="s">
        <v>22</v>
      </c>
      <c r="O5" s="38">
        <f>Daten!G6</f>
        <v>55.1</v>
      </c>
      <c r="Q5" s="14" t="s">
        <v>22</v>
      </c>
      <c r="R5" s="38">
        <f>Daten!H6</f>
        <v>55.83</v>
      </c>
    </row>
    <row r="6" spans="1:18" x14ac:dyDescent="0.25">
      <c r="B6" s="41">
        <f>17.3*10^(-3)</f>
        <v>1.7299999999999999E-2</v>
      </c>
      <c r="C6" s="41">
        <f>21.3/1000</f>
        <v>2.1299999999999999E-2</v>
      </c>
      <c r="E6" s="14" t="s">
        <v>80</v>
      </c>
      <c r="F6" s="38">
        <v>30.7</v>
      </c>
      <c r="H6" s="14" t="s">
        <v>80</v>
      </c>
      <c r="I6" s="38">
        <v>30.7</v>
      </c>
      <c r="K6" s="14" t="s">
        <v>80</v>
      </c>
      <c r="L6" s="38">
        <v>30.7</v>
      </c>
      <c r="M6" s="7"/>
      <c r="N6" s="14" t="s">
        <v>80</v>
      </c>
      <c r="O6" s="38">
        <v>30.7</v>
      </c>
      <c r="Q6" s="14" t="s">
        <v>80</v>
      </c>
      <c r="R6" s="38">
        <v>30.7</v>
      </c>
    </row>
    <row r="7" spans="1:18" x14ac:dyDescent="0.25">
      <c r="B7" s="24" t="s">
        <v>15</v>
      </c>
      <c r="C7" s="24" t="s">
        <v>16</v>
      </c>
      <c r="E7" s="14" t="s">
        <v>71</v>
      </c>
      <c r="F7" s="42">
        <f>AVERAGE(F16,F5)</f>
        <v>54.637165680980942</v>
      </c>
      <c r="H7" s="14" t="s">
        <v>71</v>
      </c>
      <c r="I7" s="42">
        <f>AVERAGE(I16,I5)</f>
        <v>57.080955476762739</v>
      </c>
      <c r="K7" s="14" t="s">
        <v>71</v>
      </c>
      <c r="L7" s="42">
        <f>AVERAGE(L16,L5)</f>
        <v>50.681120803318493</v>
      </c>
      <c r="M7" s="7"/>
      <c r="N7" s="14" t="s">
        <v>71</v>
      </c>
      <c r="O7" s="42">
        <f>AVERAGE(O16,O5)</f>
        <v>55.241127773257013</v>
      </c>
      <c r="Q7" s="14" t="s">
        <v>71</v>
      </c>
      <c r="R7" s="42">
        <f>AVERAGE(R16,R5)</f>
        <v>55.935085407490696</v>
      </c>
    </row>
    <row r="8" spans="1:18" x14ac:dyDescent="0.25">
      <c r="B8" s="41">
        <f>29.7/1000</f>
        <v>2.9700000000000001E-2</v>
      </c>
      <c r="C8" s="41">
        <f>33.7/1000</f>
        <v>3.3700000000000001E-2</v>
      </c>
      <c r="E8" s="14" t="s">
        <v>17</v>
      </c>
      <c r="F8" s="8">
        <f>Daten!D4</f>
        <v>25.5</v>
      </c>
      <c r="H8" s="14" t="s">
        <v>17</v>
      </c>
      <c r="I8" s="8">
        <f>Daten!E4</f>
        <v>11</v>
      </c>
      <c r="K8" s="14" t="s">
        <v>17</v>
      </c>
      <c r="L8" s="8">
        <f>Daten!F4</f>
        <v>19.100000000000001</v>
      </c>
      <c r="M8" s="7"/>
      <c r="N8" s="14" t="s">
        <v>17</v>
      </c>
      <c r="O8" s="8">
        <f>Daten!G4</f>
        <v>22.1</v>
      </c>
      <c r="Q8" s="14" t="s">
        <v>17</v>
      </c>
      <c r="R8" s="8">
        <f>Daten!H4</f>
        <v>16</v>
      </c>
    </row>
    <row r="9" spans="1:18" x14ac:dyDescent="0.25">
      <c r="E9" s="14" t="s">
        <v>19</v>
      </c>
      <c r="F9" s="42">
        <f>F8*((273+F4)/(273))</f>
        <v>28.415686813186817</v>
      </c>
      <c r="H9" s="14" t="s">
        <v>19</v>
      </c>
      <c r="I9" s="42">
        <f>I8*((273+I4)/(273))</f>
        <v>12.207380952380955</v>
      </c>
      <c r="K9" s="14" t="s">
        <v>19</v>
      </c>
      <c r="L9" s="42">
        <f>L8*((273+L4)/(273))</f>
        <v>21.015247252747255</v>
      </c>
      <c r="M9" s="7"/>
      <c r="N9" s="14" t="s">
        <v>19</v>
      </c>
      <c r="O9" s="42">
        <f>O8*((273+O4)/(273))</f>
        <v>24.270738095238098</v>
      </c>
      <c r="Q9" s="14" t="s">
        <v>19</v>
      </c>
      <c r="R9" s="42">
        <f>R8*((273+R4)/(273))</f>
        <v>17.583882783882782</v>
      </c>
    </row>
    <row r="10" spans="1:18" ht="15.75" thickBot="1" x14ac:dyDescent="0.3">
      <c r="E10" s="15" t="s">
        <v>24</v>
      </c>
      <c r="F10" s="39">
        <f>Daten!D3/1000</f>
        <v>0.38500000000000001</v>
      </c>
      <c r="G10" s="7"/>
      <c r="H10" s="15" t="s">
        <v>24</v>
      </c>
      <c r="I10" s="39">
        <f>Daten!E3/1000</f>
        <v>0.40100000000000002</v>
      </c>
      <c r="K10" s="15" t="s">
        <v>24</v>
      </c>
      <c r="L10" s="39">
        <f>Daten!F3/1000</f>
        <v>0.41799999999999998</v>
      </c>
      <c r="M10" s="7"/>
      <c r="N10" s="15" t="s">
        <v>24</v>
      </c>
      <c r="O10" s="39">
        <f>Daten!G3/1000</f>
        <v>0.42199999999999999</v>
      </c>
      <c r="Q10" s="15" t="s">
        <v>24</v>
      </c>
      <c r="R10" s="39">
        <f>Daten!H3/1000</f>
        <v>0.43099999999999999</v>
      </c>
    </row>
    <row r="11" spans="1:18" ht="15.75" thickBot="1" x14ac:dyDescent="0.3">
      <c r="B11" s="3" t="s">
        <v>85</v>
      </c>
      <c r="C11" s="48">
        <f>EXP(INTERCEPT(B15:B19,C15:C19))</f>
        <v>2.2320679772407207E-2</v>
      </c>
      <c r="F11" s="7"/>
      <c r="G11" s="7"/>
      <c r="I11" s="7"/>
      <c r="L11" s="7"/>
      <c r="M11" s="7"/>
      <c r="O11" s="7"/>
      <c r="P11" s="7"/>
      <c r="Q11" s="21"/>
      <c r="R11" s="7"/>
    </row>
    <row r="12" spans="1:18" x14ac:dyDescent="0.25">
      <c r="B12" s="6" t="s">
        <v>86</v>
      </c>
      <c r="C12" s="49">
        <f>SLOPE(B15:B19,C15:C19)</f>
        <v>0.40156552598252893</v>
      </c>
      <c r="E12" s="13" t="s">
        <v>27</v>
      </c>
      <c r="F12" s="12">
        <f>(F9/3600*Konstanten!$F$6)/(Konstanten!$F$2*1000*(273+F4))</f>
        <v>9.0655393457117605E-3</v>
      </c>
      <c r="G12" s="7"/>
      <c r="H12" s="13" t="s">
        <v>27</v>
      </c>
      <c r="I12" s="12">
        <f>(I9/3600*Konstanten!$F$6)/(Konstanten!$F$2*1000*(273+I4))</f>
        <v>3.9106248157972298E-3</v>
      </c>
      <c r="K12" s="13" t="s">
        <v>27</v>
      </c>
      <c r="L12" s="12">
        <f>(L9/3600*Konstanten!$F$6)/(Konstanten!$F$2*1000*(273+L4))</f>
        <v>6.790266725611554E-3</v>
      </c>
      <c r="M12" s="7"/>
      <c r="N12" s="13" t="s">
        <v>27</v>
      </c>
      <c r="O12" s="12">
        <f>(O9/3600*Konstanten!$F$6)/(Konstanten!$F$2*1000*(273+O4))</f>
        <v>7.8568007662835251E-3</v>
      </c>
      <c r="P12" s="7"/>
      <c r="Q12" s="13" t="s">
        <v>27</v>
      </c>
      <c r="R12" s="12">
        <f>(R9/3600*Konstanten!$F$6)/(Konstanten!$F$2*1000*(273+R4))</f>
        <v>5.6881815502505149E-3</v>
      </c>
    </row>
    <row r="13" spans="1:18" x14ac:dyDescent="0.25">
      <c r="B13" s="6"/>
      <c r="C13" s="49"/>
      <c r="E13" s="16" t="s">
        <v>28</v>
      </c>
      <c r="F13" s="43">
        <f>F12*Konstanten!$F$3*(F2-F3)</f>
        <v>122.17672703912467</v>
      </c>
      <c r="G13" s="7"/>
      <c r="H13" s="16" t="s">
        <v>28</v>
      </c>
      <c r="I13" s="43">
        <f>I12*Konstanten!$F$3*(I2-I3)</f>
        <v>75.105700431034492</v>
      </c>
      <c r="K13" s="16" t="s">
        <v>28</v>
      </c>
      <c r="L13" s="43">
        <f>L12*Konstanten!$F$3*(L2-L3)</f>
        <v>97.791044788903605</v>
      </c>
      <c r="M13" s="7"/>
      <c r="N13" s="16" t="s">
        <v>28</v>
      </c>
      <c r="O13" s="43">
        <f>O12*Konstanten!$F$3*(O2-O3)</f>
        <v>137.78667923850574</v>
      </c>
      <c r="P13" s="7"/>
      <c r="Q13" s="16" t="s">
        <v>28</v>
      </c>
      <c r="R13" s="43">
        <f>R12*Konstanten!$F$3*(R2-R3)</f>
        <v>104.78568965517239</v>
      </c>
    </row>
    <row r="14" spans="1:18" x14ac:dyDescent="0.25">
      <c r="B14" s="14" t="s">
        <v>87</v>
      </c>
      <c r="C14" s="50" t="s">
        <v>93</v>
      </c>
      <c r="E14" s="14" t="s">
        <v>29</v>
      </c>
      <c r="F14" s="23">
        <f>wdichte_W(F6)*F10/3600</f>
        <v>0.1064186057763889</v>
      </c>
      <c r="G14" s="7"/>
      <c r="H14" s="14" t="s">
        <v>29</v>
      </c>
      <c r="I14" s="23">
        <f>wdichte_W(I6)*I10/3600</f>
        <v>0.11084119718527778</v>
      </c>
      <c r="K14" s="14" t="s">
        <v>29</v>
      </c>
      <c r="L14" s="23">
        <f>wdichte_W(L6)*L10/3600</f>
        <v>0.11554020055722222</v>
      </c>
      <c r="M14" s="7"/>
      <c r="N14" s="14" t="s">
        <v>29</v>
      </c>
      <c r="O14" s="23">
        <f>wdichte_W(O6)*O10/3600</f>
        <v>0.11664584840944445</v>
      </c>
      <c r="P14" s="7"/>
      <c r="Q14" s="14" t="s">
        <v>29</v>
      </c>
      <c r="R14" s="23">
        <f>wdichte_W(R6)*R10/3600</f>
        <v>0.11913355607694445</v>
      </c>
    </row>
    <row r="15" spans="1:18" x14ac:dyDescent="0.25">
      <c r="B15" s="6">
        <f>F44</f>
        <v>4.4410436923490559</v>
      </c>
      <c r="C15" s="8">
        <f>F43</f>
        <v>20.629737490807397</v>
      </c>
      <c r="E15" s="16" t="s">
        <v>30</v>
      </c>
      <c r="F15" s="17">
        <f>F13/(F14*Konstanten!$F$4)</f>
        <v>0.27433136196189489</v>
      </c>
      <c r="G15" s="7"/>
      <c r="H15" s="16" t="s">
        <v>30</v>
      </c>
      <c r="I15" s="17">
        <f>I13/(I14*Konstanten!$F$4)</f>
        <v>0.16191095352547136</v>
      </c>
      <c r="K15" s="16" t="s">
        <v>30</v>
      </c>
      <c r="L15" s="17">
        <f>L13/(L14*Konstanten!$F$4)</f>
        <v>0.2022416066369904</v>
      </c>
      <c r="M15" s="7"/>
      <c r="N15" s="16" t="s">
        <v>30</v>
      </c>
      <c r="O15" s="17">
        <f>O13/(O14*Konstanten!$F$4)</f>
        <v>0.28225554651401957</v>
      </c>
      <c r="P15" s="7"/>
      <c r="Q15" s="16" t="s">
        <v>30</v>
      </c>
      <c r="R15" s="17">
        <f>R13/(R14*Konstanten!$F$4)</f>
        <v>0.21017081498139512</v>
      </c>
    </row>
    <row r="16" spans="1:18" x14ac:dyDescent="0.25">
      <c r="B16" s="6">
        <f>I44</f>
        <v>3.8014410971137149</v>
      </c>
      <c r="C16" s="8">
        <f>I43</f>
        <v>18.954627371893512</v>
      </c>
      <c r="E16" s="14" t="s">
        <v>23</v>
      </c>
      <c r="F16" s="23">
        <f>F5+F15</f>
        <v>54.774331361961892</v>
      </c>
      <c r="G16" s="7"/>
      <c r="H16" s="14" t="s">
        <v>23</v>
      </c>
      <c r="I16" s="23">
        <f>I5+I15</f>
        <v>57.161910953525471</v>
      </c>
      <c r="K16" s="14" t="s">
        <v>23</v>
      </c>
      <c r="L16" s="23">
        <f>L5+L15</f>
        <v>50.782241606636987</v>
      </c>
      <c r="M16" s="7"/>
      <c r="N16" s="14" t="s">
        <v>23</v>
      </c>
      <c r="O16" s="23">
        <f>O5+O15</f>
        <v>55.382255546514024</v>
      </c>
      <c r="P16" s="7"/>
      <c r="Q16" s="14" t="s">
        <v>23</v>
      </c>
      <c r="R16" s="23">
        <f>R5+R15</f>
        <v>56.040170814981394</v>
      </c>
    </row>
    <row r="17" spans="1:18" x14ac:dyDescent="0.25">
      <c r="B17" s="6">
        <f>L44</f>
        <v>4.2268335022604182</v>
      </c>
      <c r="C17" s="8">
        <f>L43</f>
        <v>20.071665287769623</v>
      </c>
      <c r="E17" s="16" t="s">
        <v>61</v>
      </c>
      <c r="F17" s="17">
        <f>((F5-F3)-(F16-F2))/LN((F5-F3)/(F16-F2))</f>
        <v>22.794836774907452</v>
      </c>
      <c r="G17" s="7"/>
      <c r="H17" s="16" t="s">
        <v>61</v>
      </c>
      <c r="I17" s="17">
        <f>((I5-I3)-(I16-I2))/LN((I5-I3)/(I16-I2))</f>
        <v>25.974162152719426</v>
      </c>
      <c r="K17" s="16" t="s">
        <v>61</v>
      </c>
      <c r="L17" s="17">
        <f>((L5-L3)-(L16-L2))/LN((L5-L3)/(L16-L2))</f>
        <v>22.57407661959963</v>
      </c>
      <c r="M17" s="7"/>
      <c r="N17" s="16" t="s">
        <v>61</v>
      </c>
      <c r="O17" s="17">
        <f>((O5-O3)-(O16-O2))/LN((O5-O3)/(O16-O2))</f>
        <v>27.540023202571167</v>
      </c>
      <c r="P17" s="7"/>
      <c r="Q17" s="16" t="s">
        <v>61</v>
      </c>
      <c r="R17" s="17">
        <f>((R5-R3)-(R16-R2))/LN((R5-R3)/(R16-R2))</f>
        <v>27.937531357689682</v>
      </c>
    </row>
    <row r="18" spans="1:18" ht="15.75" thickBot="1" x14ac:dyDescent="0.3">
      <c r="B18" s="6">
        <f>O44</f>
        <v>4.3775340186167444</v>
      </c>
      <c r="C18" s="8">
        <f>L43</f>
        <v>20.071665287769623</v>
      </c>
      <c r="E18" s="30" t="s">
        <v>89</v>
      </c>
      <c r="F18" s="44">
        <f>F13/(F17*$B$4*PI()*$C$6)</f>
        <v>100.12269636119791</v>
      </c>
      <c r="G18" s="7"/>
      <c r="H18" s="30" t="s">
        <v>89</v>
      </c>
      <c r="I18" s="44">
        <f>I13/(I17*$B$4*PI()*$C$6)</f>
        <v>54.014690270172061</v>
      </c>
      <c r="K18" s="30" t="s">
        <v>89</v>
      </c>
      <c r="L18" s="44">
        <f>L13/(L17*$B$4*PI()*$C$6)</f>
        <v>80.922562778961421</v>
      </c>
      <c r="M18" s="7"/>
      <c r="N18" s="30" t="s">
        <v>89</v>
      </c>
      <c r="O18" s="44">
        <f>O13/(O17*$B$4*PI()*$C$6)</f>
        <v>93.459503280755129</v>
      </c>
      <c r="P18" s="7"/>
      <c r="Q18" s="30" t="s">
        <v>89</v>
      </c>
      <c r="R18" s="44">
        <f>R13/(R17*$B$4*PI()*$C$6)</f>
        <v>70.063928559129536</v>
      </c>
    </row>
    <row r="19" spans="1:18" ht="15.75" thickBot="1" x14ac:dyDescent="0.3">
      <c r="B19" s="9">
        <f>R44</f>
        <v>4.0764209411132564</v>
      </c>
      <c r="C19" s="11">
        <f>R43</f>
        <v>19.71929166216534</v>
      </c>
      <c r="G19" s="7"/>
      <c r="Q19" s="21"/>
      <c r="R19" s="21"/>
    </row>
    <row r="20" spans="1:18" x14ac:dyDescent="0.25">
      <c r="E20" s="13" t="s">
        <v>62</v>
      </c>
      <c r="F20" s="5"/>
      <c r="G20" s="7"/>
      <c r="H20" s="13" t="s">
        <v>62</v>
      </c>
      <c r="I20" s="5"/>
      <c r="K20" s="13" t="s">
        <v>62</v>
      </c>
      <c r="L20" s="5"/>
      <c r="N20" s="13" t="s">
        <v>62</v>
      </c>
      <c r="O20" s="5"/>
      <c r="Q20" s="13" t="s">
        <v>62</v>
      </c>
      <c r="R20" s="5"/>
    </row>
    <row r="21" spans="1:18" x14ac:dyDescent="0.25">
      <c r="E21" s="25" t="s">
        <v>63</v>
      </c>
      <c r="F21" s="34">
        <f>$B$8-$C$6</f>
        <v>8.4000000000000012E-3</v>
      </c>
      <c r="G21" s="7"/>
      <c r="H21" s="25" t="s">
        <v>63</v>
      </c>
      <c r="I21" s="34">
        <f>$B$8-$C$6</f>
        <v>8.4000000000000012E-3</v>
      </c>
      <c r="K21" s="25" t="s">
        <v>63</v>
      </c>
      <c r="L21" s="34">
        <f>$B$8-$C$6</f>
        <v>8.4000000000000012E-3</v>
      </c>
      <c r="N21" s="25" t="s">
        <v>63</v>
      </c>
      <c r="O21" s="34">
        <f>$B$8-$C$6</f>
        <v>8.4000000000000012E-3</v>
      </c>
      <c r="Q21" s="25" t="s">
        <v>63</v>
      </c>
      <c r="R21" s="34">
        <f>$B$8-$C$6</f>
        <v>8.4000000000000012E-3</v>
      </c>
    </row>
    <row r="22" spans="1:18" x14ac:dyDescent="0.25">
      <c r="E22" s="31" t="s">
        <v>75</v>
      </c>
      <c r="F22" s="32">
        <f>PI()/4*(B8^2-C6^2)</f>
        <v>3.3646457319946692E-4</v>
      </c>
      <c r="G22" s="7"/>
      <c r="H22" s="31" t="s">
        <v>75</v>
      </c>
      <c r="I22" s="32">
        <f>PI()/4*($B$8^2-$C$6^2)</f>
        <v>3.3646457319946692E-4</v>
      </c>
      <c r="K22" s="31" t="s">
        <v>75</v>
      </c>
      <c r="L22" s="32">
        <f>PI()/4*($B$8^2-$C$6^2)</f>
        <v>3.3646457319946692E-4</v>
      </c>
      <c r="N22" s="31" t="s">
        <v>75</v>
      </c>
      <c r="O22" s="32">
        <f>PI()/4*($B$8^2-$C$6^2)</f>
        <v>3.3646457319946692E-4</v>
      </c>
      <c r="Q22" s="31" t="s">
        <v>75</v>
      </c>
      <c r="R22" s="32">
        <f>PI()/4*($B$8^2-$C$6^2)</f>
        <v>3.3646457319946692E-4</v>
      </c>
    </row>
    <row r="23" spans="1:18" x14ac:dyDescent="0.25">
      <c r="E23" s="25" t="s">
        <v>64</v>
      </c>
      <c r="F23" s="27">
        <f>F10/F22/3600</f>
        <v>0.31784756245658102</v>
      </c>
      <c r="G23" s="7"/>
      <c r="H23" s="25" t="s">
        <v>64</v>
      </c>
      <c r="I23" s="27">
        <f>I10/I22/3600</f>
        <v>0.33105681180542595</v>
      </c>
      <c r="K23" s="25" t="s">
        <v>64</v>
      </c>
      <c r="L23" s="27">
        <f>L10/L22/3600</f>
        <v>0.34509163923857367</v>
      </c>
      <c r="N23" s="25" t="s">
        <v>64</v>
      </c>
      <c r="O23" s="27">
        <f>O10/O22/3600</f>
        <v>0.3483939515757849</v>
      </c>
      <c r="Q23" s="25" t="s">
        <v>64</v>
      </c>
      <c r="R23" s="27">
        <f>R10/R22/3600</f>
        <v>0.3558241543345102</v>
      </c>
    </row>
    <row r="24" spans="1:18" x14ac:dyDescent="0.25">
      <c r="E24" s="31" t="s">
        <v>65</v>
      </c>
      <c r="F24" s="33">
        <f>F23*F21/kvisko_W(F7)</f>
        <v>5221.1435595112507</v>
      </c>
      <c r="G24" s="7"/>
      <c r="H24" s="31" t="s">
        <v>65</v>
      </c>
      <c r="I24" s="33">
        <f>I23*I21/kvisko_W(I7)</f>
        <v>5648.2605636030239</v>
      </c>
      <c r="K24" s="31" t="s">
        <v>65</v>
      </c>
      <c r="L24" s="33">
        <f>L23*L21/kvisko_W(L7)</f>
        <v>5316.084498886602</v>
      </c>
      <c r="N24" s="31" t="s">
        <v>65</v>
      </c>
      <c r="O24" s="33">
        <f>O23*O21/kvisko_W(O7)</f>
        <v>5777.5118699417926</v>
      </c>
      <c r="Q24" s="31" t="s">
        <v>65</v>
      </c>
      <c r="R24" s="33">
        <f>R23*R21/kvisko_W(R7)</f>
        <v>5964.8518715935179</v>
      </c>
    </row>
    <row r="25" spans="1:18" x14ac:dyDescent="0.25">
      <c r="E25" s="25" t="s">
        <v>72</v>
      </c>
      <c r="F25" s="27">
        <f>wdichte_W(F7)</f>
        <v>986.09831139290498</v>
      </c>
      <c r="G25" s="7"/>
      <c r="H25" s="25" t="s">
        <v>72</v>
      </c>
      <c r="I25" s="27">
        <f>wdichte_W(I7)</f>
        <v>984.94250378446634</v>
      </c>
      <c r="K25" s="25" t="s">
        <v>72</v>
      </c>
      <c r="L25" s="27">
        <f>wdichte_W(L7)</f>
        <v>987.87567397836415</v>
      </c>
      <c r="N25" s="25" t="s">
        <v>72</v>
      </c>
      <c r="O25" s="27">
        <f>wdichte_W(O7)</f>
        <v>985.81677465336702</v>
      </c>
      <c r="Q25" s="25" t="s">
        <v>72</v>
      </c>
      <c r="R25" s="27">
        <f>wdichte_W(R7)</f>
        <v>985.48995392540337</v>
      </c>
    </row>
    <row r="26" spans="1:18" x14ac:dyDescent="0.25">
      <c r="E26" s="31" t="s">
        <v>66</v>
      </c>
      <c r="F26" s="56">
        <f>Konstanten!$F$4*kvisko_W(F7)*F25/wlf_W(F7)</f>
        <v>3.2651203336362524</v>
      </c>
      <c r="G26" s="7"/>
      <c r="H26" s="31" t="s">
        <v>66</v>
      </c>
      <c r="I26" s="56">
        <f>Konstanten!$F$4*kvisko_W(I7)*I25/wlf_W(I7)</f>
        <v>3.127247332990108</v>
      </c>
      <c r="K26" s="31" t="s">
        <v>66</v>
      </c>
      <c r="L26" s="56">
        <f>Konstanten!$F$4*kvisko_W(L7)*L25/wlf_W(L7)</f>
        <v>3.5123494956305765</v>
      </c>
      <c r="N26" s="31" t="s">
        <v>66</v>
      </c>
      <c r="O26" s="56">
        <f>Konstanten!$F$4*kvisko_W(O7)*O25/wlf_W(O7)</f>
        <v>3.2300450614936738</v>
      </c>
      <c r="Q26" s="31" t="s">
        <v>66</v>
      </c>
      <c r="R26" s="56">
        <f>Konstanten!$F$4*kvisko_W(R7)*R25/wlf_W(R7)</f>
        <v>3.1905651563168087</v>
      </c>
    </row>
    <row r="27" spans="1:18" x14ac:dyDescent="0.25">
      <c r="E27" s="25" t="s">
        <v>73</v>
      </c>
      <c r="F27" s="29">
        <f>0.023*(F24^2*F26)^0.4</f>
        <v>34.793652394594332</v>
      </c>
      <c r="G27" s="7"/>
      <c r="H27" s="25" t="s">
        <v>73</v>
      </c>
      <c r="I27" s="29">
        <f>0.023*(I24^2*I26)^0.4</f>
        <v>36.418705680743969</v>
      </c>
      <c r="K27" s="25" t="s">
        <v>73</v>
      </c>
      <c r="L27" s="29">
        <f>0.023*(L24^2*L26)^0.4</f>
        <v>36.344644552926034</v>
      </c>
      <c r="N27" s="25" t="s">
        <v>73</v>
      </c>
      <c r="O27" s="29">
        <f>0.023*(O24^2*O26)^0.4</f>
        <v>37.566777756031911</v>
      </c>
      <c r="Q27" s="25" t="s">
        <v>73</v>
      </c>
      <c r="R27" s="29">
        <f>0.023*(R24^2*R26)^0.4</f>
        <v>38.349050335724897</v>
      </c>
    </row>
    <row r="28" spans="1:18" x14ac:dyDescent="0.25">
      <c r="E28" s="46" t="s">
        <v>69</v>
      </c>
      <c r="F28" s="53">
        <f>F27/F21*wlf_W(F7)</f>
        <v>2677.1318248140374</v>
      </c>
      <c r="G28" s="54"/>
      <c r="H28" s="46" t="s">
        <v>69</v>
      </c>
      <c r="I28" s="53">
        <f>I27/I21*wlf_W(I7)</f>
        <v>2813.5615658674692</v>
      </c>
      <c r="J28" s="55"/>
      <c r="K28" s="46" t="s">
        <v>69</v>
      </c>
      <c r="L28" s="53">
        <f>L27/L21*wlf_W(L7)</f>
        <v>2777.0456426021469</v>
      </c>
      <c r="M28" s="55"/>
      <c r="N28" s="46" t="s">
        <v>69</v>
      </c>
      <c r="O28" s="53">
        <f>O27/O21*wlf_W(O7)</f>
        <v>2893.4553894273167</v>
      </c>
      <c r="P28" s="55"/>
      <c r="Q28" s="46" t="s">
        <v>69</v>
      </c>
      <c r="R28" s="53">
        <f>R27/R21*wlf_W(R7)</f>
        <v>2957.1300342592544</v>
      </c>
    </row>
    <row r="29" spans="1:18" x14ac:dyDescent="0.25">
      <c r="A29" s="21"/>
      <c r="E29" s="25"/>
      <c r="F29" s="47"/>
      <c r="G29" s="7"/>
      <c r="H29" s="25"/>
      <c r="I29" s="29"/>
      <c r="J29" s="22"/>
      <c r="K29" s="51"/>
      <c r="L29" s="29"/>
      <c r="M29" s="22"/>
      <c r="N29" s="51"/>
      <c r="O29" s="29"/>
      <c r="P29" s="22"/>
      <c r="Q29" s="51"/>
      <c r="R29" s="29"/>
    </row>
    <row r="30" spans="1:18" x14ac:dyDescent="0.25">
      <c r="E30" s="6"/>
      <c r="F30" s="8"/>
      <c r="G30" s="7"/>
      <c r="H30" s="51"/>
      <c r="I30" s="52"/>
      <c r="J30" s="22"/>
      <c r="K30" s="51"/>
      <c r="L30" s="52"/>
      <c r="M30" s="22"/>
      <c r="N30" s="51"/>
      <c r="O30" s="52"/>
      <c r="P30" s="22"/>
      <c r="Q30" s="51"/>
      <c r="R30" s="52"/>
    </row>
    <row r="31" spans="1:18" ht="15.75" thickBot="1" x14ac:dyDescent="0.3">
      <c r="E31" s="9"/>
      <c r="F31" s="11"/>
      <c r="G31" s="7"/>
      <c r="H31" s="9"/>
      <c r="I31" s="11"/>
      <c r="K31" s="9"/>
      <c r="L31" s="11"/>
      <c r="N31" s="9"/>
      <c r="O31" s="11"/>
      <c r="Q31" s="9"/>
      <c r="R31" s="11"/>
    </row>
    <row r="32" spans="1:18" ht="15.75" thickBot="1" x14ac:dyDescent="0.3">
      <c r="E32" s="7"/>
      <c r="F32" s="7"/>
      <c r="G32" s="7"/>
      <c r="H32" s="7"/>
      <c r="I32" s="7"/>
      <c r="K32" s="7"/>
      <c r="L32" s="7"/>
      <c r="N32" s="7"/>
      <c r="O32" s="7"/>
      <c r="Q32" s="7"/>
      <c r="R32" s="7"/>
    </row>
    <row r="33" spans="5:18" x14ac:dyDescent="0.25">
      <c r="E33" s="13" t="s">
        <v>67</v>
      </c>
      <c r="F33" s="5"/>
      <c r="G33" s="7"/>
      <c r="H33" s="13" t="s">
        <v>67</v>
      </c>
      <c r="I33" s="5"/>
      <c r="K33" s="13" t="s">
        <v>67</v>
      </c>
      <c r="L33" s="5"/>
      <c r="N33" s="13" t="s">
        <v>67</v>
      </c>
      <c r="O33" s="5"/>
      <c r="Q33" s="13" t="s">
        <v>67</v>
      </c>
      <c r="R33" s="5"/>
    </row>
    <row r="34" spans="5:18" x14ac:dyDescent="0.25">
      <c r="E34" s="25" t="s">
        <v>68</v>
      </c>
      <c r="F34" s="34">
        <f>B6</f>
        <v>1.7299999999999999E-2</v>
      </c>
      <c r="G34" s="7"/>
      <c r="H34" s="25" t="s">
        <v>68</v>
      </c>
      <c r="I34" s="34">
        <f>$B$6</f>
        <v>1.7299999999999999E-2</v>
      </c>
      <c r="K34" s="25" t="s">
        <v>68</v>
      </c>
      <c r="L34" s="34">
        <f>$B$6</f>
        <v>1.7299999999999999E-2</v>
      </c>
      <c r="N34" s="25" t="s">
        <v>68</v>
      </c>
      <c r="O34" s="34">
        <f>$B$6</f>
        <v>1.7299999999999999E-2</v>
      </c>
      <c r="Q34" s="25" t="s">
        <v>68</v>
      </c>
      <c r="R34" s="34">
        <f>$B$6</f>
        <v>1.7299999999999999E-2</v>
      </c>
    </row>
    <row r="35" spans="5:18" x14ac:dyDescent="0.25">
      <c r="E35" s="31" t="s">
        <v>76</v>
      </c>
      <c r="F35" s="32">
        <f>PI()/4*F34^2</f>
        <v>2.3506181632322227E-4</v>
      </c>
      <c r="G35" s="7"/>
      <c r="H35" s="31" t="s">
        <v>76</v>
      </c>
      <c r="I35" s="32">
        <f>PI()/4*I34^2</f>
        <v>2.3506181632322227E-4</v>
      </c>
      <c r="K35" s="31" t="s">
        <v>76</v>
      </c>
      <c r="L35" s="32">
        <f>PI()/4*L34^2</f>
        <v>2.3506181632322227E-4</v>
      </c>
      <c r="N35" s="31" t="s">
        <v>76</v>
      </c>
      <c r="O35" s="32">
        <f>PI()/4*O34^2</f>
        <v>2.3506181632322227E-4</v>
      </c>
      <c r="Q35" s="31" t="s">
        <v>76</v>
      </c>
      <c r="R35" s="32">
        <f>PI()/4*R34^2</f>
        <v>2.3506181632322227E-4</v>
      </c>
    </row>
    <row r="36" spans="5:18" x14ac:dyDescent="0.25">
      <c r="E36" s="25" t="s">
        <v>64</v>
      </c>
      <c r="F36" s="27">
        <f>F9/F35/3600</f>
        <v>33.579449271942629</v>
      </c>
      <c r="G36" s="7"/>
      <c r="H36" s="25" t="s">
        <v>64</v>
      </c>
      <c r="I36" s="27">
        <f>I9/I35/3600</f>
        <v>14.425733649468768</v>
      </c>
      <c r="K36" s="25" t="s">
        <v>64</v>
      </c>
      <c r="L36" s="27">
        <f>L9/L35/3600</f>
        <v>24.834185205527895</v>
      </c>
      <c r="N36" s="25" t="s">
        <v>64</v>
      </c>
      <c r="O36" s="27">
        <f>O9/O35/3600</f>
        <v>28.68127115912041</v>
      </c>
      <c r="Q36" s="25" t="s">
        <v>64</v>
      </c>
      <c r="R36" s="27">
        <f>R9/R35/3600</f>
        <v>20.779265474982815</v>
      </c>
    </row>
    <row r="37" spans="5:18" x14ac:dyDescent="0.25">
      <c r="E37" s="31" t="s">
        <v>65</v>
      </c>
      <c r="F37" s="33">
        <f>F36*F34/kvisko_L(F4)</f>
        <v>35990.13760026425</v>
      </c>
      <c r="G37" s="7"/>
      <c r="H37" s="31" t="s">
        <v>65</v>
      </c>
      <c r="I37" s="33">
        <f>I36*I34/kvisko_L(I4)</f>
        <v>15573.940483750865</v>
      </c>
      <c r="K37" s="31" t="s">
        <v>65</v>
      </c>
      <c r="L37" s="33">
        <f>L36*L34/kvisko_L(L4)</f>
        <v>27219.769301361954</v>
      </c>
      <c r="N37" s="31" t="s">
        <v>65</v>
      </c>
      <c r="O37" s="33">
        <f>O36*O34/kvisko_L(O4)</f>
        <v>31540.060389760172</v>
      </c>
      <c r="Q37" s="31" t="s">
        <v>65</v>
      </c>
      <c r="R37" s="33">
        <f>R36*R34/kvisko_L(R4)</f>
        <v>22822.219161329132</v>
      </c>
    </row>
    <row r="38" spans="5:18" x14ac:dyDescent="0.25">
      <c r="E38" s="25" t="s">
        <v>70</v>
      </c>
      <c r="F38" s="28">
        <f>Konstanten!$F$6/(Konstanten!F2*(F4+273)*1000)</f>
        <v>1.1485184876621399</v>
      </c>
      <c r="G38" s="7"/>
      <c r="H38" s="25" t="s">
        <v>70</v>
      </c>
      <c r="I38" s="28">
        <f>Konstanten!$F$6/(Konstanten!$F$2*(I4+273)*1000)</f>
        <v>1.153257147604964</v>
      </c>
      <c r="K38" s="25" t="s">
        <v>70</v>
      </c>
      <c r="L38" s="28">
        <f>Konstanten!$F$6/(Konstanten!$F$2*(L4+273)*1000)</f>
        <v>1.1632011709501056</v>
      </c>
      <c r="N38" s="25" t="s">
        <v>70</v>
      </c>
      <c r="O38" s="28">
        <f>Konstanten!$F$6/(Konstanten!$F$2*(O4+273)*1000)</f>
        <v>1.165373819602548</v>
      </c>
      <c r="Q38" s="25" t="s">
        <v>70</v>
      </c>
      <c r="R38" s="28">
        <f>Konstanten!$F$6/(Konstanten!$F$2*(R4+273)*1000)</f>
        <v>1.1645581259033013</v>
      </c>
    </row>
    <row r="39" spans="5:18" x14ac:dyDescent="0.25">
      <c r="E39" s="31" t="s">
        <v>66</v>
      </c>
      <c r="F39" s="56">
        <f>Konstanten!$F$3*kvisko_L(F4)*F38/wlf_L(F4)</f>
        <v>0.70309521321988533</v>
      </c>
      <c r="G39" s="7"/>
      <c r="H39" s="31" t="s">
        <v>66</v>
      </c>
      <c r="I39" s="56">
        <f>Konstanten!$F$3*kvisko_L(I4)*I38/wlf_L(I4)</f>
        <v>0.70322297762677533</v>
      </c>
      <c r="K39" s="31" t="s">
        <v>66</v>
      </c>
      <c r="L39" s="56">
        <f>Konstanten!$F$3*kvisko_L(L4)*L38/wlf_L(L4)</f>
        <v>0.70346840549009537</v>
      </c>
      <c r="N39" s="31" t="s">
        <v>66</v>
      </c>
      <c r="O39" s="56">
        <f>Konstanten!$F$3*kvisko_L(O4)*O38/wlf_L(O4)</f>
        <v>0.70351797084747258</v>
      </c>
      <c r="Q39" s="31" t="s">
        <v>66</v>
      </c>
      <c r="R39" s="56">
        <f>Konstanten!$F$3*kvisko_L(R4)*R38/wlf_L(R4)</f>
        <v>0.70349953185625824</v>
      </c>
    </row>
    <row r="40" spans="5:18" x14ac:dyDescent="0.25">
      <c r="E40" s="46" t="s">
        <v>90</v>
      </c>
      <c r="F40" s="57">
        <f>((1/F18-($C$6/(2*Konstanten!$F$5)*LN($C$6/$B$6))-1/F28)*($B$6/$C$6))^-1</f>
        <v>129.98724596364232</v>
      </c>
      <c r="G40" s="54"/>
      <c r="H40" s="46" t="s">
        <v>90</v>
      </c>
      <c r="I40" s="55">
        <f>((1/I18-($C$6/(2*Konstanten!$F$5)*LN($C$6/$B$6))-1/I28)*($B$6/$C$6))^-1</f>
        <v>68.341334389455682</v>
      </c>
      <c r="J40" s="55"/>
      <c r="K40" s="46" t="s">
        <v>90</v>
      </c>
      <c r="L40" s="55">
        <f>((1/L18-($C$6/(2*Konstanten!$F$5)*LN($C$6/$B$6))-1/L28)*($B$6/$C$6))^-1</f>
        <v>103.85615429828842</v>
      </c>
      <c r="M40" s="55"/>
      <c r="N40" s="46" t="s">
        <v>90</v>
      </c>
      <c r="O40" s="55">
        <f>((1/O18-($C$6/(2*Konstanten!$F$5)*LN($C$6/$B$6))-1/O28)*($B$6/$C$6))^-1</f>
        <v>120.56766967434623</v>
      </c>
      <c r="P40" s="55"/>
      <c r="Q40" s="46" t="s">
        <v>90</v>
      </c>
      <c r="R40" s="55">
        <f>((1/R18-($C$6/(2*Konstanten!$F$5)*LN($C$6/$B$6))-1/R28)*($B$6/$C$6))^-1</f>
        <v>89.269450154297871</v>
      </c>
    </row>
    <row r="41" spans="5:18" x14ac:dyDescent="0.25">
      <c r="E41" s="35" t="s">
        <v>74</v>
      </c>
      <c r="F41" s="29">
        <f>F40*F34/wlf_L(F4)</f>
        <v>84.863466820317882</v>
      </c>
      <c r="G41" s="7"/>
      <c r="H41" s="35" t="s">
        <v>74</v>
      </c>
      <c r="I41" s="29">
        <f>I40*I34/wlf_L(I4)</f>
        <v>44.765649680394716</v>
      </c>
      <c r="K41" s="35" t="s">
        <v>74</v>
      </c>
      <c r="L41" s="29">
        <f>L40*L34/wlf_L(L4)</f>
        <v>68.499983353970364</v>
      </c>
      <c r="N41" s="35" t="s">
        <v>74</v>
      </c>
      <c r="O41" s="29">
        <f>O40*O34/wlf_L(O4)</f>
        <v>79.641396851718355</v>
      </c>
      <c r="Q41" s="35" t="s">
        <v>74</v>
      </c>
      <c r="R41" s="29">
        <f>R40*R34/wlf_L(R4)</f>
        <v>58.934163095627682</v>
      </c>
    </row>
    <row r="42" spans="5:18" x14ac:dyDescent="0.25">
      <c r="E42" s="6"/>
      <c r="F42" s="8"/>
      <c r="G42" s="7"/>
      <c r="H42" s="6"/>
      <c r="I42" s="8"/>
      <c r="K42" s="6"/>
      <c r="L42" s="8"/>
      <c r="N42" s="6"/>
      <c r="O42" s="8"/>
      <c r="Q42" s="6"/>
      <c r="R42" s="8"/>
    </row>
    <row r="43" spans="5:18" x14ac:dyDescent="0.25">
      <c r="E43" s="6" t="s">
        <v>77</v>
      </c>
      <c r="F43" s="8">
        <f>LN(F37^2*F39)</f>
        <v>20.629737490807397</v>
      </c>
      <c r="G43" s="7"/>
      <c r="H43" s="6" t="s">
        <v>77</v>
      </c>
      <c r="I43" s="8">
        <f>LN(I37^2*I39)</f>
        <v>18.954627371893512</v>
      </c>
      <c r="K43" s="6" t="s">
        <v>77</v>
      </c>
      <c r="L43" s="8">
        <f>LN(L37^2*L39)</f>
        <v>20.071665287769623</v>
      </c>
      <c r="N43" s="6" t="s">
        <v>77</v>
      </c>
      <c r="O43" s="8">
        <f>LN(O37^2*O39)</f>
        <v>20.366365692598855</v>
      </c>
      <c r="Q43" s="6" t="s">
        <v>77</v>
      </c>
      <c r="R43" s="8">
        <f>LN(R37^2*R39)</f>
        <v>19.71929166216534</v>
      </c>
    </row>
    <row r="44" spans="5:18" ht="15.75" thickBot="1" x14ac:dyDescent="0.3">
      <c r="E44" s="9" t="s">
        <v>78</v>
      </c>
      <c r="F44" s="11">
        <f>LN(F41)</f>
        <v>4.4410436923490559</v>
      </c>
      <c r="H44" s="9" t="s">
        <v>78</v>
      </c>
      <c r="I44" s="11">
        <f>LN(I41)</f>
        <v>3.8014410971137149</v>
      </c>
      <c r="K44" s="9" t="s">
        <v>78</v>
      </c>
      <c r="L44" s="11">
        <f>LN(L41)</f>
        <v>4.2268335022604182</v>
      </c>
      <c r="N44" s="9" t="s">
        <v>78</v>
      </c>
      <c r="O44" s="11">
        <f>LN(O41)</f>
        <v>4.3775340186167444</v>
      </c>
      <c r="Q44" s="9" t="s">
        <v>78</v>
      </c>
      <c r="R44" s="11">
        <f>LN(R41)</f>
        <v>4.0764209411132564</v>
      </c>
    </row>
  </sheetData>
  <phoneticPr fontId="2" type="noConversion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A25AA-E717-4646-AC83-F0E8AA34A37D}">
  <sheetPr codeName="Tabelle3"/>
  <dimension ref="A1:R44"/>
  <sheetViews>
    <sheetView tabSelected="1" zoomScale="90" zoomScaleNormal="90" workbookViewId="0">
      <selection activeCell="C12" sqref="C12"/>
    </sheetView>
  </sheetViews>
  <sheetFormatPr baseColWidth="10" defaultRowHeight="15" x14ac:dyDescent="0.25"/>
  <cols>
    <col min="1" max="4" width="11.42578125" style="21"/>
    <col min="5" max="5" width="27.28515625" style="21" bestFit="1" customWidth="1"/>
    <col min="6" max="6" width="17" style="21" bestFit="1" customWidth="1"/>
    <col min="7" max="7" width="19.85546875" style="21" bestFit="1" customWidth="1"/>
    <col min="8" max="8" width="24.140625" style="21" bestFit="1" customWidth="1"/>
    <col min="9" max="9" width="17" style="21" bestFit="1" customWidth="1"/>
    <col min="10" max="10" width="11.42578125" style="21"/>
    <col min="11" max="11" width="24.140625" style="21" bestFit="1" customWidth="1"/>
    <col min="12" max="12" width="17" style="21" bestFit="1" customWidth="1"/>
    <col min="13" max="13" width="11.42578125" style="21"/>
    <col min="14" max="14" width="24.140625" style="21" bestFit="1" customWidth="1"/>
    <col min="15" max="15" width="17" style="21" bestFit="1" customWidth="1"/>
    <col min="16" max="16" width="14.7109375" style="21" customWidth="1"/>
    <col min="17" max="17" width="27.28515625" style="21" bestFit="1" customWidth="1"/>
    <col min="18" max="18" width="17.85546875" style="21" bestFit="1" customWidth="1"/>
    <col min="19" max="16384" width="11.42578125" style="21"/>
  </cols>
  <sheetData>
    <row r="1" spans="1:18" ht="19.5" thickBot="1" x14ac:dyDescent="0.35">
      <c r="A1" s="21" t="s">
        <v>96</v>
      </c>
      <c r="E1" s="36" t="s">
        <v>79</v>
      </c>
      <c r="F1" s="4"/>
      <c r="G1" s="4"/>
      <c r="H1" s="36" t="s">
        <v>81</v>
      </c>
      <c r="I1" s="4"/>
      <c r="K1" s="36" t="s">
        <v>82</v>
      </c>
      <c r="L1" s="4"/>
      <c r="M1" s="7"/>
      <c r="N1" s="36" t="s">
        <v>83</v>
      </c>
      <c r="O1" s="4"/>
      <c r="Q1" s="36" t="s">
        <v>84</v>
      </c>
      <c r="R1" s="4"/>
    </row>
    <row r="2" spans="1:18" x14ac:dyDescent="0.25">
      <c r="E2" s="13" t="s">
        <v>20</v>
      </c>
      <c r="F2" s="37">
        <f>Daten!I8</f>
        <v>35</v>
      </c>
      <c r="H2" s="13" t="s">
        <v>20</v>
      </c>
      <c r="I2" s="37">
        <f>Daten!J8</f>
        <v>34.78</v>
      </c>
      <c r="K2" s="13" t="s">
        <v>20</v>
      </c>
      <c r="L2" s="37">
        <f>Daten!K8</f>
        <v>33.61</v>
      </c>
      <c r="M2" s="7"/>
      <c r="N2" s="13" t="s">
        <v>20</v>
      </c>
      <c r="O2" s="37">
        <f>Daten!L8</f>
        <v>33.49</v>
      </c>
      <c r="Q2" s="13" t="s">
        <v>20</v>
      </c>
      <c r="R2" s="37">
        <f>Daten!M8</f>
        <v>32.67</v>
      </c>
    </row>
    <row r="3" spans="1:18" x14ac:dyDescent="0.25">
      <c r="B3" s="24" t="s">
        <v>18</v>
      </c>
      <c r="C3" s="26"/>
      <c r="E3" s="14" t="s">
        <v>21</v>
      </c>
      <c r="F3" s="38">
        <f>Daten!I7</f>
        <v>26.42</v>
      </c>
      <c r="H3" s="14" t="s">
        <v>21</v>
      </c>
      <c r="I3" s="38">
        <f>Daten!J7</f>
        <v>24.51</v>
      </c>
      <c r="K3" s="14" t="s">
        <v>21</v>
      </c>
      <c r="L3" s="38">
        <f>Daten!K7</f>
        <v>22.81</v>
      </c>
      <c r="M3" s="7"/>
      <c r="N3" s="14" t="s">
        <v>21</v>
      </c>
      <c r="O3" s="38">
        <f>Daten!L7</f>
        <v>21.52</v>
      </c>
      <c r="Q3" s="14" t="s">
        <v>21</v>
      </c>
      <c r="R3" s="38">
        <f>Daten!M7</f>
        <v>20.53</v>
      </c>
    </row>
    <row r="4" spans="1:18" x14ac:dyDescent="0.25">
      <c r="B4" s="40">
        <f>800*10^-3</f>
        <v>0.8</v>
      </c>
      <c r="C4" s="26"/>
      <c r="E4" s="14" t="s">
        <v>26</v>
      </c>
      <c r="F4" s="38">
        <f>AVERAGE(F2:F3)</f>
        <v>30.71</v>
      </c>
      <c r="H4" s="14" t="s">
        <v>26</v>
      </c>
      <c r="I4" s="38">
        <f>AVERAGE(I2:I3)</f>
        <v>29.645000000000003</v>
      </c>
      <c r="K4" s="14" t="s">
        <v>26</v>
      </c>
      <c r="L4" s="38">
        <f>AVERAGE(L2:L3)</f>
        <v>28.21</v>
      </c>
      <c r="M4" s="7"/>
      <c r="N4" s="14" t="s">
        <v>26</v>
      </c>
      <c r="O4" s="38">
        <f>AVERAGE(O2:O3)</f>
        <v>27.505000000000003</v>
      </c>
      <c r="Q4" s="14" t="s">
        <v>26</v>
      </c>
      <c r="R4" s="38">
        <f>AVERAGE(R2:R3)</f>
        <v>26.6</v>
      </c>
    </row>
    <row r="5" spans="1:18" x14ac:dyDescent="0.25">
      <c r="B5" s="24" t="s">
        <v>1</v>
      </c>
      <c r="C5" s="24" t="s">
        <v>2</v>
      </c>
      <c r="E5" s="14" t="s">
        <v>22</v>
      </c>
      <c r="F5" s="38">
        <f>Daten!I6</f>
        <v>54.7</v>
      </c>
      <c r="H5" s="14" t="s">
        <v>22</v>
      </c>
      <c r="I5" s="38">
        <f>Daten!J6</f>
        <v>54.7</v>
      </c>
      <c r="K5" s="14" t="s">
        <v>22</v>
      </c>
      <c r="L5" s="38">
        <f>Daten!K6</f>
        <v>54.72</v>
      </c>
      <c r="M5" s="7"/>
      <c r="N5" s="14" t="s">
        <v>22</v>
      </c>
      <c r="O5" s="38">
        <f>Daten!L6</f>
        <v>53.8</v>
      </c>
      <c r="Q5" s="14" t="s">
        <v>22</v>
      </c>
      <c r="R5" s="38">
        <f>Daten!H6</f>
        <v>55.83</v>
      </c>
    </row>
    <row r="6" spans="1:18" x14ac:dyDescent="0.25">
      <c r="B6" s="41">
        <f>29.7*10^(-3)</f>
        <v>2.9700000000000001E-2</v>
      </c>
      <c r="C6" s="41">
        <f>33.7/1000</f>
        <v>3.3700000000000001E-2</v>
      </c>
      <c r="E6" s="14" t="s">
        <v>80</v>
      </c>
      <c r="F6" s="38">
        <v>30.7</v>
      </c>
      <c r="H6" s="14" t="s">
        <v>80</v>
      </c>
      <c r="I6" s="38">
        <v>30.7</v>
      </c>
      <c r="K6" s="14" t="s">
        <v>80</v>
      </c>
      <c r="L6" s="38">
        <v>30.7</v>
      </c>
      <c r="M6" s="7"/>
      <c r="N6" s="14" t="s">
        <v>80</v>
      </c>
      <c r="O6" s="38">
        <v>30.7</v>
      </c>
      <c r="Q6" s="14" t="s">
        <v>80</v>
      </c>
      <c r="R6" s="38">
        <v>30.7</v>
      </c>
    </row>
    <row r="7" spans="1:18" x14ac:dyDescent="0.25">
      <c r="B7" s="24" t="s">
        <v>15</v>
      </c>
      <c r="C7" s="24" t="s">
        <v>16</v>
      </c>
      <c r="E7" s="14" t="s">
        <v>71</v>
      </c>
      <c r="F7" s="42">
        <f>AVERAGE(F16,F5)</f>
        <v>54.779124797735065</v>
      </c>
      <c r="H7" s="14" t="s">
        <v>71</v>
      </c>
      <c r="I7" s="42">
        <f>AVERAGE(I16,I5)</f>
        <v>54.774262886409105</v>
      </c>
      <c r="K7" s="14" t="s">
        <v>71</v>
      </c>
      <c r="L7" s="42">
        <f>AVERAGE(L16,L5)</f>
        <v>54.781128075338174</v>
      </c>
      <c r="M7" s="7"/>
      <c r="N7" s="14" t="s">
        <v>71</v>
      </c>
      <c r="O7" s="42">
        <f>AVERAGE(O16,O5)</f>
        <v>53.854136130032103</v>
      </c>
      <c r="Q7" s="14" t="s">
        <v>71</v>
      </c>
      <c r="R7" s="42">
        <f>AVERAGE(R16,R5)</f>
        <v>55.874822905439785</v>
      </c>
    </row>
    <row r="8" spans="1:18" x14ac:dyDescent="0.25">
      <c r="B8" s="41">
        <f>44.3/1000</f>
        <v>4.4299999999999999E-2</v>
      </c>
      <c r="C8" s="41">
        <f>48.3/1000</f>
        <v>4.8299999999999996E-2</v>
      </c>
      <c r="E8" s="14" t="s">
        <v>17</v>
      </c>
      <c r="F8" s="8">
        <f>Daten!I4</f>
        <v>25.2</v>
      </c>
      <c r="H8" s="14" t="s">
        <v>17</v>
      </c>
      <c r="I8" s="8">
        <f>Daten!J4</f>
        <v>19.899999999999999</v>
      </c>
      <c r="K8" s="14" t="s">
        <v>17</v>
      </c>
      <c r="L8" s="8">
        <f>Daten!K4</f>
        <v>15.1</v>
      </c>
      <c r="M8" s="7"/>
      <c r="N8" s="14" t="s">
        <v>17</v>
      </c>
      <c r="O8" s="8">
        <f>Daten!L4</f>
        <v>12.3</v>
      </c>
      <c r="Q8" s="14" t="s">
        <v>17</v>
      </c>
      <c r="R8" s="8">
        <f>Daten!M4</f>
        <v>10.4</v>
      </c>
    </row>
    <row r="9" spans="1:18" x14ac:dyDescent="0.25">
      <c r="E9" s="14" t="s">
        <v>19</v>
      </c>
      <c r="F9" s="42">
        <f>F8*((273+F4)/(273))</f>
        <v>28.034769230769228</v>
      </c>
      <c r="H9" s="14" t="s">
        <v>19</v>
      </c>
      <c r="I9" s="42">
        <f>I8*((273+I4)/(273))</f>
        <v>22.060935897435897</v>
      </c>
      <c r="K9" s="14" t="s">
        <v>19</v>
      </c>
      <c r="L9" s="42">
        <f>L8*((273+L4)/(273))</f>
        <v>16.66033333333333</v>
      </c>
      <c r="M9" s="7"/>
      <c r="N9" s="14" t="s">
        <v>19</v>
      </c>
      <c r="O9" s="42">
        <f>O8*((273+O4)/(273))</f>
        <v>13.539236263736264</v>
      </c>
      <c r="Q9" s="14" t="s">
        <v>19</v>
      </c>
      <c r="R9" s="42">
        <f>R8*((273+R4)/(273))</f>
        <v>11.413333333333334</v>
      </c>
    </row>
    <row r="10" spans="1:18" ht="15.75" thickBot="1" x14ac:dyDescent="0.3">
      <c r="E10" s="15" t="s">
        <v>24</v>
      </c>
      <c r="F10" s="39">
        <f>Daten!I3/1000</f>
        <v>0.42199999999999999</v>
      </c>
      <c r="G10" s="7"/>
      <c r="H10" s="15" t="s">
        <v>24</v>
      </c>
      <c r="I10" s="39">
        <f>Daten!J3/1000</f>
        <v>0.42499999999999999</v>
      </c>
      <c r="K10" s="15" t="s">
        <v>24</v>
      </c>
      <c r="L10" s="39">
        <f>Daten!K3/1000</f>
        <v>0.41199999999999998</v>
      </c>
      <c r="M10" s="7"/>
      <c r="N10" s="15" t="s">
        <v>24</v>
      </c>
      <c r="O10" s="39">
        <f>Daten!L3/1000</f>
        <v>0.42</v>
      </c>
      <c r="Q10" s="15" t="s">
        <v>24</v>
      </c>
      <c r="R10" s="39">
        <f>Daten!M3/1000</f>
        <v>0.435</v>
      </c>
    </row>
    <row r="11" spans="1:18" ht="15.75" thickBot="1" x14ac:dyDescent="0.3">
      <c r="B11" s="21" t="s">
        <v>85</v>
      </c>
      <c r="C11" s="45">
        <f>EXP(INTERCEPT(B15:B19,C15:C19))</f>
        <v>9.305865914427558E-3</v>
      </c>
      <c r="F11" s="7"/>
      <c r="G11" s="7"/>
      <c r="I11" s="7"/>
      <c r="L11" s="7"/>
      <c r="M11" s="7"/>
      <c r="O11" s="7"/>
      <c r="P11" s="7"/>
      <c r="R11" s="7"/>
    </row>
    <row r="12" spans="1:18" x14ac:dyDescent="0.25">
      <c r="B12" s="21" t="s">
        <v>86</v>
      </c>
      <c r="C12" s="45">
        <f>SLOPE(B15:B19,C15:C19)</f>
        <v>0.44202568910088441</v>
      </c>
      <c r="E12" s="13" t="s">
        <v>27</v>
      </c>
      <c r="F12" s="12">
        <f>(F9/3600*Konstanten!$F$6)/(Konstanten!$F$2*1000*(273+F4))</f>
        <v>8.9588859416445624E-3</v>
      </c>
      <c r="G12" s="7"/>
      <c r="H12" s="13" t="s">
        <v>27</v>
      </c>
      <c r="I12" s="12">
        <f>(I9/3600*Konstanten!$F$6)/(Konstanten!$F$2*1000*(273+I4))</f>
        <v>7.0746758031240801E-3</v>
      </c>
      <c r="K12" s="13" t="s">
        <v>27</v>
      </c>
      <c r="L12" s="12">
        <f>(L9/3600*Konstanten!$F$6)/(Konstanten!$F$2*1000*(273+L4))</f>
        <v>5.3682213380489242E-3</v>
      </c>
      <c r="M12" s="7"/>
      <c r="N12" s="13" t="s">
        <v>27</v>
      </c>
      <c r="O12" s="12">
        <f>(O9/3600*Konstanten!$F$6)/(Konstanten!$F$2*1000*(273+O4))</f>
        <v>4.372789566755084E-3</v>
      </c>
      <c r="P12" s="7"/>
      <c r="Q12" s="13" t="s">
        <v>27</v>
      </c>
      <c r="R12" s="12">
        <f>(R9/3600*Konstanten!$F$6)/(Konstanten!$F$2*1000*(273+R4))</f>
        <v>3.6973180076628354E-3</v>
      </c>
    </row>
    <row r="13" spans="1:18" x14ac:dyDescent="0.25">
      <c r="E13" s="16" t="s">
        <v>28</v>
      </c>
      <c r="F13" s="43">
        <f>F12*Konstanten!$F$3*(F2-F3)</f>
        <v>77.251577586206878</v>
      </c>
      <c r="G13" s="7"/>
      <c r="H13" s="16" t="s">
        <v>28</v>
      </c>
      <c r="I13" s="43">
        <f>I12*Konstanten!$F$3*(I2-I3)</f>
        <v>73.020205100574714</v>
      </c>
      <c r="K13" s="16" t="s">
        <v>28</v>
      </c>
      <c r="L13" s="43">
        <f>L12*Konstanten!$F$3*(L2-L3)</f>
        <v>58.266674403183025</v>
      </c>
      <c r="M13" s="7"/>
      <c r="N13" s="16" t="s">
        <v>28</v>
      </c>
      <c r="O13" s="43">
        <f>O12*Konstanten!$F$3*(O2-O3)</f>
        <v>52.604002569628648</v>
      </c>
      <c r="P13" s="7"/>
      <c r="Q13" s="16" t="s">
        <v>28</v>
      </c>
      <c r="R13" s="43">
        <f>R12*Konstanten!$F$3*(R2-R3)</f>
        <v>45.109867816091956</v>
      </c>
    </row>
    <row r="14" spans="1:18" x14ac:dyDescent="0.25">
      <c r="B14" s="21" t="s">
        <v>87</v>
      </c>
      <c r="C14" s="21" t="s">
        <v>88</v>
      </c>
      <c r="E14" s="14" t="s">
        <v>29</v>
      </c>
      <c r="F14" s="23">
        <f>wdichte_W(F6)*F10/3600</f>
        <v>0.11664584840944445</v>
      </c>
      <c r="G14" s="7"/>
      <c r="H14" s="14" t="s">
        <v>29</v>
      </c>
      <c r="I14" s="23">
        <f>wdichte_W(I6)*I10/3600</f>
        <v>0.1174750842986111</v>
      </c>
      <c r="K14" s="14" t="s">
        <v>29</v>
      </c>
      <c r="L14" s="23">
        <f>wdichte_W(L6)*L10/3600</f>
        <v>0.11388172877888889</v>
      </c>
      <c r="M14" s="7"/>
      <c r="N14" s="14" t="s">
        <v>29</v>
      </c>
      <c r="O14" s="23">
        <f>wdichte_W(O6)*O10/3600</f>
        <v>0.11609302448333333</v>
      </c>
      <c r="P14" s="7"/>
      <c r="Q14" s="14" t="s">
        <v>29</v>
      </c>
      <c r="R14" s="23">
        <f>wdichte_W(R6)*R10/3600</f>
        <v>0.12023920392916666</v>
      </c>
    </row>
    <row r="15" spans="1:18" x14ac:dyDescent="0.25">
      <c r="B15" s="21">
        <f>F44</f>
        <v>3.9160855142075777</v>
      </c>
      <c r="C15" s="21">
        <f>F43</f>
        <v>19.527793015800611</v>
      </c>
      <c r="E15" s="16" t="s">
        <v>30</v>
      </c>
      <c r="F15" s="17">
        <f>F13/(F14*Konstanten!$F$4)</f>
        <v>0.1582495954701221</v>
      </c>
      <c r="G15" s="7"/>
      <c r="H15" s="16" t="s">
        <v>30</v>
      </c>
      <c r="I15" s="17">
        <f>I13/(I14*Konstanten!$F$4)</f>
        <v>0.14852577281821064</v>
      </c>
      <c r="K15" s="16" t="s">
        <v>30</v>
      </c>
      <c r="L15" s="17">
        <f>L13/(L14*Konstanten!$F$4)</f>
        <v>0.12225615067635186</v>
      </c>
      <c r="M15" s="7"/>
      <c r="N15" s="16" t="s">
        <v>30</v>
      </c>
      <c r="O15" s="17">
        <f>O13/(O14*Konstanten!$F$4)</f>
        <v>0.10827226006422122</v>
      </c>
      <c r="P15" s="7"/>
      <c r="Q15" s="16" t="s">
        <v>30</v>
      </c>
      <c r="R15" s="17">
        <f>R13/(R14*Konstanten!$F$4)</f>
        <v>8.9645810879575558E-2</v>
      </c>
    </row>
    <row r="16" spans="1:18" x14ac:dyDescent="0.25">
      <c r="B16" s="21">
        <f>I44</f>
        <v>3.8200714670421938</v>
      </c>
      <c r="C16" s="21">
        <f>I43</f>
        <v>19.061051737377358</v>
      </c>
      <c r="E16" s="14" t="s">
        <v>23</v>
      </c>
      <c r="F16" s="23">
        <f>F5+F15</f>
        <v>54.858249595470127</v>
      </c>
      <c r="G16" s="7"/>
      <c r="H16" s="14" t="s">
        <v>23</v>
      </c>
      <c r="I16" s="23">
        <f>I5+I15</f>
        <v>54.848525772818213</v>
      </c>
      <c r="K16" s="14" t="s">
        <v>23</v>
      </c>
      <c r="L16" s="23">
        <f>L5+L15</f>
        <v>54.842256150676349</v>
      </c>
      <c r="M16" s="7"/>
      <c r="N16" s="14" t="s">
        <v>23</v>
      </c>
      <c r="O16" s="23">
        <f>O5+O15</f>
        <v>53.908272260064216</v>
      </c>
      <c r="P16" s="7"/>
      <c r="Q16" s="14" t="s">
        <v>23</v>
      </c>
      <c r="R16" s="23">
        <f>R5+R15</f>
        <v>55.919645810879572</v>
      </c>
    </row>
    <row r="17" spans="2:18" x14ac:dyDescent="0.25">
      <c r="B17" s="21">
        <f>L44</f>
        <v>3.5362071103052695</v>
      </c>
      <c r="C17" s="21">
        <f>L43</f>
        <v>18.516449182889758</v>
      </c>
      <c r="E17" s="16" t="s">
        <v>61</v>
      </c>
      <c r="F17" s="17">
        <f>((F5-F3)-(F16-F2))/LN((F5-F3)/(F16-F2))</f>
        <v>23.821524597803812</v>
      </c>
      <c r="G17" s="7"/>
      <c r="H17" s="16" t="s">
        <v>61</v>
      </c>
      <c r="I17" s="17">
        <f>((I5-I3)-(I16-I2))/LN((I5-I3)/(I16-I2))</f>
        <v>24.785784258805098</v>
      </c>
      <c r="K17" s="16" t="s">
        <v>61</v>
      </c>
      <c r="L17" s="17">
        <f>((L5-L3)-(L16-L2))/LN((L5-L3)/(L16-L2))</f>
        <v>26.209619370017688</v>
      </c>
      <c r="M17" s="7"/>
      <c r="N17" s="16" t="s">
        <v>61</v>
      </c>
      <c r="O17" s="17">
        <f>((O5-O3)-(O16-O2))/LN((O5-O3)/(O16-O2))</f>
        <v>25.897971146404423</v>
      </c>
      <c r="P17" s="7"/>
      <c r="Q17" s="16" t="s">
        <v>61</v>
      </c>
      <c r="R17" s="17">
        <f>((R5-R3)-(R16-R2))/LN((R5-R3)/(R16-R2))</f>
        <v>28.856691289505378</v>
      </c>
    </row>
    <row r="18" spans="2:18" ht="15.75" thickBot="1" x14ac:dyDescent="0.3">
      <c r="B18" s="21">
        <f>O44</f>
        <v>3.4459152929457124</v>
      </c>
      <c r="C18" s="21">
        <f>L43</f>
        <v>18.516449182889758</v>
      </c>
      <c r="E18" s="30" t="s">
        <v>89</v>
      </c>
      <c r="F18" s="44">
        <f>F13/(F17*$B$4*PI()*$C$6)</f>
        <v>38.288472725532479</v>
      </c>
      <c r="G18" s="7"/>
      <c r="H18" s="30" t="s">
        <v>89</v>
      </c>
      <c r="I18" s="44">
        <f>I13/(I17*$B$4*PI()*$C$6)</f>
        <v>34.783287204925145</v>
      </c>
      <c r="K18" s="30" t="s">
        <v>89</v>
      </c>
      <c r="L18" s="44">
        <f>L13/(L17*$B$4*PI()*$C$6)</f>
        <v>26.247609533721032</v>
      </c>
      <c r="M18" s="7"/>
      <c r="N18" s="30" t="s">
        <v>89</v>
      </c>
      <c r="O18" s="44">
        <f>O13/(O17*$B$4*PI()*$C$6)</f>
        <v>23.981883398314778</v>
      </c>
      <c r="P18" s="7"/>
      <c r="Q18" s="30" t="s">
        <v>89</v>
      </c>
      <c r="R18" s="44">
        <f>R13/(R17*$B$4*PI()*$C$6)</f>
        <v>18.456751313574244</v>
      </c>
    </row>
    <row r="19" spans="2:18" ht="15.75" thickBot="1" x14ac:dyDescent="0.3">
      <c r="B19" s="21">
        <f>R44</f>
        <v>3.181725099424487</v>
      </c>
      <c r="C19" s="21">
        <f>R43</f>
        <v>17.779064057564685</v>
      </c>
      <c r="G19" s="7"/>
    </row>
    <row r="20" spans="2:18" x14ac:dyDescent="0.25">
      <c r="E20" s="13" t="s">
        <v>62</v>
      </c>
      <c r="F20" s="5"/>
      <c r="G20" s="7"/>
      <c r="H20" s="13" t="s">
        <v>62</v>
      </c>
      <c r="I20" s="5"/>
      <c r="K20" s="13" t="s">
        <v>62</v>
      </c>
      <c r="L20" s="5"/>
      <c r="N20" s="13" t="s">
        <v>62</v>
      </c>
      <c r="O20" s="5"/>
      <c r="Q20" s="13" t="s">
        <v>62</v>
      </c>
      <c r="R20" s="5"/>
    </row>
    <row r="21" spans="2:18" x14ac:dyDescent="0.25">
      <c r="E21" s="25" t="s">
        <v>63</v>
      </c>
      <c r="F21" s="34">
        <f>$B$8-$C$6</f>
        <v>1.0599999999999998E-2</v>
      </c>
      <c r="G21" s="7"/>
      <c r="H21" s="25" t="s">
        <v>63</v>
      </c>
      <c r="I21" s="34">
        <f>$B$8-$C$6</f>
        <v>1.0599999999999998E-2</v>
      </c>
      <c r="K21" s="25" t="s">
        <v>63</v>
      </c>
      <c r="L21" s="34">
        <f>$B$8-$C$6</f>
        <v>1.0599999999999998E-2</v>
      </c>
      <c r="N21" s="25" t="s">
        <v>63</v>
      </c>
      <c r="O21" s="34">
        <f>$B$8-$C$6</f>
        <v>1.0599999999999998E-2</v>
      </c>
      <c r="Q21" s="25" t="s">
        <v>63</v>
      </c>
      <c r="R21" s="34">
        <f>$B$8-$C$6</f>
        <v>1.0599999999999998E-2</v>
      </c>
    </row>
    <row r="22" spans="2:18" x14ac:dyDescent="0.25">
      <c r="E22" s="31" t="s">
        <v>75</v>
      </c>
      <c r="F22" s="32">
        <f>PI()/4*(B8^2-C6^2)</f>
        <v>6.4936720149701014E-4</v>
      </c>
      <c r="G22" s="7"/>
      <c r="H22" s="31" t="s">
        <v>75</v>
      </c>
      <c r="I22" s="32">
        <f>PI()/4*($B$8^2-$C$6^2)</f>
        <v>6.4936720149701014E-4</v>
      </c>
      <c r="K22" s="31" t="s">
        <v>75</v>
      </c>
      <c r="L22" s="32">
        <f>PI()/4*($B$8^2-$C$6^2)</f>
        <v>6.4936720149701014E-4</v>
      </c>
      <c r="N22" s="31" t="s">
        <v>75</v>
      </c>
      <c r="O22" s="32">
        <f>PI()/4*($B$8^2-$C$6^2)</f>
        <v>6.4936720149701014E-4</v>
      </c>
      <c r="Q22" s="31" t="s">
        <v>75</v>
      </c>
      <c r="R22" s="32">
        <f>PI()/4*($B$8^2-$C$6^2)</f>
        <v>6.4936720149701014E-4</v>
      </c>
    </row>
    <row r="23" spans="2:18" x14ac:dyDescent="0.25">
      <c r="E23" s="25" t="s">
        <v>64</v>
      </c>
      <c r="F23" s="27">
        <f>F10/F22/3600</f>
        <v>0.18051762077293942</v>
      </c>
      <c r="G23" s="7"/>
      <c r="H23" s="25" t="s">
        <v>64</v>
      </c>
      <c r="I23" s="27">
        <f>I10/I22/3600</f>
        <v>0.18180092139454801</v>
      </c>
      <c r="K23" s="25" t="s">
        <v>64</v>
      </c>
      <c r="L23" s="27">
        <f>L10/L22/3600</f>
        <v>0.17623995203424417</v>
      </c>
      <c r="N23" s="25" t="s">
        <v>64</v>
      </c>
      <c r="O23" s="27">
        <f>O10/O22/3600</f>
        <v>0.17966208702520037</v>
      </c>
      <c r="Q23" s="25" t="s">
        <v>64</v>
      </c>
      <c r="R23" s="27">
        <f>R10/R22/3600</f>
        <v>0.18607859013324324</v>
      </c>
    </row>
    <row r="24" spans="2:18" x14ac:dyDescent="0.25">
      <c r="E24" s="31" t="s">
        <v>65</v>
      </c>
      <c r="F24" s="33">
        <f>F23*F21/kvisko_W(F7)</f>
        <v>3750.294213121274</v>
      </c>
      <c r="G24" s="7"/>
      <c r="H24" s="31" t="s">
        <v>65</v>
      </c>
      <c r="I24" s="33">
        <f>I23*I21/kvisko_W(I7)</f>
        <v>3776.6657314336203</v>
      </c>
      <c r="K24" s="31" t="s">
        <v>65</v>
      </c>
      <c r="L24" s="33">
        <f>L23*L21/kvisko_W(L7)</f>
        <v>3661.5402545398601</v>
      </c>
      <c r="N24" s="31" t="s">
        <v>65</v>
      </c>
      <c r="O24" s="33">
        <f>O23*O21/kvisko_W(O7)</f>
        <v>3678.1610855615509</v>
      </c>
      <c r="Q24" s="31" t="s">
        <v>65</v>
      </c>
      <c r="R24" s="33">
        <f>R23*R21/kvisko_W(R7)</f>
        <v>3932.6152977971678</v>
      </c>
    </row>
    <row r="25" spans="2:18" x14ac:dyDescent="0.25">
      <c r="E25" s="25" t="s">
        <v>72</v>
      </c>
      <c r="F25" s="27">
        <f>wdichte_W(F7)</f>
        <v>986.03237986171337</v>
      </c>
      <c r="G25" s="7"/>
      <c r="H25" s="25" t="s">
        <v>72</v>
      </c>
      <c r="I25" s="27">
        <f>wdichte_W(I7)</f>
        <v>986.03464039539699</v>
      </c>
      <c r="K25" s="25" t="s">
        <v>72</v>
      </c>
      <c r="L25" s="27">
        <f>wdichte_W(L7)</f>
        <v>986.0314483918454</v>
      </c>
      <c r="N25" s="25" t="s">
        <v>72</v>
      </c>
      <c r="O25" s="27">
        <f>wdichte_W(O7)</f>
        <v>986.45930196689551</v>
      </c>
      <c r="Q25" s="25" t="s">
        <v>72</v>
      </c>
      <c r="R25" s="27">
        <f>wdichte_W(R7)</f>
        <v>985.518475966393</v>
      </c>
    </row>
    <row r="26" spans="2:18" x14ac:dyDescent="0.25">
      <c r="E26" s="31" t="s">
        <v>66</v>
      </c>
      <c r="F26" s="33">
        <f>Konstanten!$F$4*kvisko_W(F7)*F25/wlf_W(F7)</f>
        <v>3.2568153888678686</v>
      </c>
      <c r="G26" s="7"/>
      <c r="H26" s="31" t="s">
        <v>66</v>
      </c>
      <c r="I26" s="33">
        <f>Konstanten!$F$4*kvisko_W(I7)*I25/wlf_W(I7)</f>
        <v>3.2570992027828205</v>
      </c>
      <c r="K26" s="31" t="s">
        <v>66</v>
      </c>
      <c r="L26" s="33">
        <f>Konstanten!$F$4*kvisko_W(L7)*L25/wlf_W(L7)</f>
        <v>3.2566984603627915</v>
      </c>
      <c r="N26" s="31" t="s">
        <v>66</v>
      </c>
      <c r="O26" s="33">
        <f>Konstanten!$F$4*kvisko_W(O7)*O25/wlf_W(O7)</f>
        <v>3.3116095473680418</v>
      </c>
      <c r="Q26" s="31" t="s">
        <v>66</v>
      </c>
      <c r="R26" s="33">
        <f>Konstanten!$F$4*kvisko_W(R7)*R25/wlf_W(R7)</f>
        <v>3.193959182685695</v>
      </c>
    </row>
    <row r="27" spans="2:18" x14ac:dyDescent="0.25">
      <c r="E27" s="25" t="s">
        <v>73</v>
      </c>
      <c r="F27" s="29">
        <f>0.023*(F24^2*F26)^0.4</f>
        <v>26.674566141927009</v>
      </c>
      <c r="G27" s="7"/>
      <c r="H27" s="25" t="s">
        <v>73</v>
      </c>
      <c r="I27" s="29">
        <f>0.023*(I24^2*I26)^0.4</f>
        <v>26.825453246274741</v>
      </c>
      <c r="K27" s="25" t="s">
        <v>73</v>
      </c>
      <c r="L27" s="29">
        <f>0.023*(L24^2*L26)^0.4</f>
        <v>26.167962335401597</v>
      </c>
      <c r="N27" s="25" t="s">
        <v>73</v>
      </c>
      <c r="O27" s="29">
        <f>0.023*(O24^2*O26)^0.4</f>
        <v>26.439186154546935</v>
      </c>
      <c r="Q27" s="25" t="s">
        <v>73</v>
      </c>
      <c r="R27" s="29">
        <f>0.023*(R24^2*R26)^0.4</f>
        <v>27.491899786184547</v>
      </c>
    </row>
    <row r="28" spans="2:18" x14ac:dyDescent="0.25">
      <c r="E28" s="46" t="s">
        <v>69</v>
      </c>
      <c r="F28" s="53">
        <f>F27/F21*wlf_W(F7)</f>
        <v>1626.8410528210375</v>
      </c>
      <c r="G28" s="54"/>
      <c r="H28" s="46" t="s">
        <v>69</v>
      </c>
      <c r="I28" s="53">
        <f>I27/I21*wlf_W(I7)</f>
        <v>1636.0299486039671</v>
      </c>
      <c r="J28" s="55"/>
      <c r="K28" s="46" t="s">
        <v>69</v>
      </c>
      <c r="L28" s="53">
        <f>L27/L21*wlf_W(L7)</f>
        <v>1595.9494774152097</v>
      </c>
      <c r="M28" s="55"/>
      <c r="N28" s="46" t="s">
        <v>69</v>
      </c>
      <c r="O28" s="53">
        <f>O27/O21*wlf_W(O7)</f>
        <v>1609.9385007579417</v>
      </c>
      <c r="P28" s="55"/>
      <c r="Q28" s="46" t="s">
        <v>69</v>
      </c>
      <c r="R28" s="53">
        <f>R27/R21*wlf_W(R7)</f>
        <v>1679.7728824499532</v>
      </c>
    </row>
    <row r="29" spans="2:18" x14ac:dyDescent="0.25">
      <c r="E29" s="6"/>
      <c r="F29" s="47"/>
      <c r="G29" s="7"/>
      <c r="H29" s="6"/>
      <c r="I29" s="8"/>
      <c r="K29" s="6"/>
      <c r="L29" s="8"/>
      <c r="N29" s="6"/>
      <c r="O29" s="8"/>
      <c r="Q29" s="6"/>
      <c r="R29" s="8"/>
    </row>
    <row r="30" spans="2:18" x14ac:dyDescent="0.25">
      <c r="E30" s="6"/>
      <c r="F30" s="8"/>
      <c r="G30" s="7"/>
      <c r="H30" s="6"/>
      <c r="I30" s="8"/>
      <c r="K30" s="6"/>
      <c r="L30" s="8"/>
      <c r="N30" s="6"/>
      <c r="O30" s="8"/>
      <c r="Q30" s="6"/>
      <c r="R30" s="8"/>
    </row>
    <row r="31" spans="2:18" ht="15.75" thickBot="1" x14ac:dyDescent="0.3">
      <c r="E31" s="9"/>
      <c r="F31" s="11"/>
      <c r="G31" s="7"/>
      <c r="H31" s="9"/>
      <c r="I31" s="11"/>
      <c r="K31" s="9"/>
      <c r="L31" s="11"/>
      <c r="N31" s="9"/>
      <c r="O31" s="11"/>
      <c r="Q31" s="9"/>
      <c r="R31" s="11"/>
    </row>
    <row r="32" spans="2:18" ht="15.75" thickBot="1" x14ac:dyDescent="0.3">
      <c r="E32" s="7"/>
      <c r="F32" s="7"/>
      <c r="G32" s="7"/>
      <c r="H32" s="7"/>
      <c r="I32" s="7"/>
      <c r="K32" s="7"/>
      <c r="L32" s="7"/>
      <c r="N32" s="7"/>
      <c r="O32" s="7"/>
      <c r="Q32" s="7"/>
      <c r="R32" s="7"/>
    </row>
    <row r="33" spans="5:18" x14ac:dyDescent="0.25">
      <c r="E33" s="13" t="s">
        <v>67</v>
      </c>
      <c r="F33" s="5"/>
      <c r="G33" s="7"/>
      <c r="H33" s="13" t="s">
        <v>67</v>
      </c>
      <c r="I33" s="5"/>
      <c r="K33" s="13" t="s">
        <v>67</v>
      </c>
      <c r="L33" s="5"/>
      <c r="N33" s="13" t="s">
        <v>67</v>
      </c>
      <c r="O33" s="5"/>
      <c r="Q33" s="13" t="s">
        <v>67</v>
      </c>
      <c r="R33" s="5"/>
    </row>
    <row r="34" spans="5:18" x14ac:dyDescent="0.25">
      <c r="E34" s="25" t="s">
        <v>68</v>
      </c>
      <c r="F34" s="34">
        <f>B6</f>
        <v>2.9700000000000001E-2</v>
      </c>
      <c r="G34" s="7"/>
      <c r="H34" s="25" t="s">
        <v>68</v>
      </c>
      <c r="I34" s="34">
        <f>$B$6</f>
        <v>2.9700000000000001E-2</v>
      </c>
      <c r="K34" s="25" t="s">
        <v>68</v>
      </c>
      <c r="L34" s="34">
        <f>$B$6</f>
        <v>2.9700000000000001E-2</v>
      </c>
      <c r="N34" s="25" t="s">
        <v>68</v>
      </c>
      <c r="O34" s="34">
        <f>$B$6</f>
        <v>2.9700000000000001E-2</v>
      </c>
      <c r="Q34" s="25" t="s">
        <v>68</v>
      </c>
      <c r="R34" s="34">
        <f>$B$6</f>
        <v>2.9700000000000001E-2</v>
      </c>
    </row>
    <row r="35" spans="5:18" x14ac:dyDescent="0.25">
      <c r="E35" s="31" t="s">
        <v>76</v>
      </c>
      <c r="F35" s="32">
        <f>PI()/4*F34^2</f>
        <v>6.9279186595125526E-4</v>
      </c>
      <c r="G35" s="7"/>
      <c r="H35" s="31" t="s">
        <v>76</v>
      </c>
      <c r="I35" s="32">
        <f>PI()/4*I34^2</f>
        <v>6.9279186595125526E-4</v>
      </c>
      <c r="K35" s="31" t="s">
        <v>76</v>
      </c>
      <c r="L35" s="32">
        <f>PI()/4*L34^2</f>
        <v>6.9279186595125526E-4</v>
      </c>
      <c r="N35" s="31" t="s">
        <v>76</v>
      </c>
      <c r="O35" s="32">
        <f>PI()/4*O34^2</f>
        <v>6.9279186595125526E-4</v>
      </c>
      <c r="Q35" s="31" t="s">
        <v>76</v>
      </c>
      <c r="R35" s="32">
        <f>PI()/4*R34^2</f>
        <v>6.9279186595125526E-4</v>
      </c>
    </row>
    <row r="36" spans="5:18" x14ac:dyDescent="0.25">
      <c r="E36" s="25" t="s">
        <v>64</v>
      </c>
      <c r="F36" s="27">
        <f>F9/F35/3600</f>
        <v>11.240657230787724</v>
      </c>
      <c r="G36" s="7"/>
      <c r="H36" s="25" t="s">
        <v>64</v>
      </c>
      <c r="I36" s="27">
        <f>I9/I35/3600</f>
        <v>8.8454239295571018</v>
      </c>
      <c r="K36" s="25" t="s">
        <v>64</v>
      </c>
      <c r="L36" s="27">
        <f>L9/L35/3600</f>
        <v>6.6800298874986881</v>
      </c>
      <c r="N36" s="25" t="s">
        <v>64</v>
      </c>
      <c r="O36" s="27">
        <f>O9/O35/3600</f>
        <v>5.4286130466976044</v>
      </c>
      <c r="Q36" s="25" t="s">
        <v>64</v>
      </c>
      <c r="R36" s="27">
        <f>R9/R35/3600</f>
        <v>4.5762234318632098</v>
      </c>
    </row>
    <row r="37" spans="5:18" x14ac:dyDescent="0.25">
      <c r="E37" s="31" t="s">
        <v>65</v>
      </c>
      <c r="F37" s="33">
        <f>F36*F34/kvisko_L(F4)</f>
        <v>20743.552840765245</v>
      </c>
      <c r="G37" s="7"/>
      <c r="H37" s="31" t="s">
        <v>65</v>
      </c>
      <c r="I37" s="33">
        <f>I36*I34/kvisko_L(I4)</f>
        <v>16424.73858493915</v>
      </c>
      <c r="K37" s="31" t="s">
        <v>65</v>
      </c>
      <c r="L37" s="33">
        <f>L36*L34/kvisko_L(L4)</f>
        <v>12508.265415626774</v>
      </c>
      <c r="N37" s="31" t="s">
        <v>65</v>
      </c>
      <c r="O37" s="33">
        <f>O36*O34/kvisko_L(O4)</f>
        <v>10207.098493809279</v>
      </c>
      <c r="Q37" s="31" t="s">
        <v>65</v>
      </c>
      <c r="R37" s="33">
        <f>R36*R34/kvisko_L(R4)</f>
        <v>8650.3033814215942</v>
      </c>
    </row>
    <row r="38" spans="5:18" x14ac:dyDescent="0.25">
      <c r="E38" s="25" t="s">
        <v>70</v>
      </c>
      <c r="F38" s="28">
        <f>Konstanten!$F$6/(Konstanten!F2*(F4+273)*1000)</f>
        <v>1.150428210214145</v>
      </c>
      <c r="G38" s="7"/>
      <c r="H38" s="25" t="s">
        <v>70</v>
      </c>
      <c r="I38" s="28">
        <f>Konstanten!$F$6/(Konstanten!$F$2*(I4+273)*1000)</f>
        <v>1.154476537607223</v>
      </c>
      <c r="K38" s="25" t="s">
        <v>70</v>
      </c>
      <c r="L38" s="28">
        <f>Konstanten!$F$6/(Konstanten!$F$2*(L4+273)*1000)</f>
        <v>1.1599766001266161</v>
      </c>
      <c r="N38" s="25" t="s">
        <v>70</v>
      </c>
      <c r="O38" s="28">
        <f>Konstanten!$F$6/(Konstanten!$F$2*(O4+273)*1000)</f>
        <v>1.1626979641741002</v>
      </c>
      <c r="Q38" s="25" t="s">
        <v>70</v>
      </c>
      <c r="R38" s="28">
        <f>Konstanten!$F$6/(Konstanten!$F$2*(R4+273)*1000)</f>
        <v>1.1662101192394456</v>
      </c>
    </row>
    <row r="39" spans="5:18" x14ac:dyDescent="0.25">
      <c r="E39" s="31" t="s">
        <v>66</v>
      </c>
      <c r="F39" s="33">
        <f>Konstanten!$F$3*kvisko_L(F4)*F38/wlf_L(F4)</f>
        <v>0.70314754787103295</v>
      </c>
      <c r="G39" s="7"/>
      <c r="H39" s="31" t="s">
        <v>66</v>
      </c>
      <c r="I39" s="33">
        <f>Konstanten!$F$3*kvisko_L(I4)*I38/wlf_L(I4)</f>
        <v>0.70325472156551228</v>
      </c>
      <c r="K39" s="31" t="s">
        <v>66</v>
      </c>
      <c r="L39" s="33">
        <f>Konstanten!$F$3*kvisko_L(L4)*L38/wlf_L(L4)</f>
        <v>0.70339216823867612</v>
      </c>
      <c r="N39" s="31" t="s">
        <v>66</v>
      </c>
      <c r="O39" s="33">
        <f>Konstanten!$F$3*kvisko_L(O4)*O38/wlf_L(O4)</f>
        <v>0.70345671904273599</v>
      </c>
      <c r="Q39" s="31" t="s">
        <v>66</v>
      </c>
      <c r="R39" s="33">
        <f>Konstanten!$F$3*kvisko_L(R4)*R38/wlf_L(R4)</f>
        <v>0.70353666412322247</v>
      </c>
    </row>
    <row r="40" spans="5:18" x14ac:dyDescent="0.25">
      <c r="E40" s="46" t="s">
        <v>90</v>
      </c>
      <c r="F40" s="55">
        <f>((1/F18-($C$6/(2*Konstanten!$F$5)*LN($C$6/$B$6))-1/F28)*($B$6/$C$6))^-1</f>
        <v>44.732380477083296</v>
      </c>
      <c r="G40" s="54"/>
      <c r="H40" s="46" t="s">
        <v>90</v>
      </c>
      <c r="I40" s="55">
        <f>((1/I18-($C$6/(2*Konstanten!$F$5)*LN($C$6/$B$6))-1/I28)*($B$6/$C$6))^-1</f>
        <v>40.522353492530826</v>
      </c>
      <c r="J40" s="55"/>
      <c r="K40" s="46" t="s">
        <v>90</v>
      </c>
      <c r="L40" s="55">
        <f>((1/L18-($C$6/(2*Konstanten!$F$5)*LN($C$6/$B$6))-1/L28)*($B$6/$C$6))^-1</f>
        <v>30.39165245034086</v>
      </c>
      <c r="M40" s="55"/>
      <c r="N40" s="46" t="s">
        <v>90</v>
      </c>
      <c r="O40" s="55">
        <f>((1/O18-($C$6/(2*Konstanten!$F$5)*LN($C$6/$B$6))-1/O28)*($B$6/$C$6))^-1</f>
        <v>27.715592611428452</v>
      </c>
      <c r="P40" s="55"/>
      <c r="Q40" s="46" t="s">
        <v>90</v>
      </c>
      <c r="R40" s="55">
        <f>((1/R18-($C$6/(2*Konstanten!$F$5)*LN($C$6/$B$6))-1/R28)*($B$6/$C$6))^-1</f>
        <v>21.229397407676931</v>
      </c>
    </row>
    <row r="41" spans="5:18" x14ac:dyDescent="0.25">
      <c r="E41" s="35" t="s">
        <v>74</v>
      </c>
      <c r="F41" s="29">
        <f>F40*F34/wlf_L(F4)</f>
        <v>50.203538597708686</v>
      </c>
      <c r="G41" s="7"/>
      <c r="H41" s="35" t="s">
        <v>74</v>
      </c>
      <c r="I41" s="29">
        <f>I40*I34/wlf_L(I4)</f>
        <v>45.607467635194403</v>
      </c>
      <c r="K41" s="35" t="s">
        <v>74</v>
      </c>
      <c r="L41" s="29">
        <f>L40*L34/wlf_L(L4)</f>
        <v>34.33643757586151</v>
      </c>
      <c r="N41" s="35" t="s">
        <v>74</v>
      </c>
      <c r="O41" s="29">
        <f>O40*O34/wlf_L(O4)</f>
        <v>31.371984866003164</v>
      </c>
      <c r="Q41" s="35" t="s">
        <v>74</v>
      </c>
      <c r="R41" s="29">
        <f>R40*R34/wlf_L(R4)</f>
        <v>24.088272394547019</v>
      </c>
    </row>
    <row r="42" spans="5:18" x14ac:dyDescent="0.25">
      <c r="E42" s="6"/>
      <c r="F42" s="8"/>
      <c r="G42" s="7"/>
      <c r="H42" s="6"/>
      <c r="I42" s="8"/>
      <c r="K42" s="6"/>
      <c r="L42" s="8"/>
      <c r="N42" s="6"/>
      <c r="O42" s="8"/>
      <c r="Q42" s="6"/>
      <c r="R42" s="8"/>
    </row>
    <row r="43" spans="5:18" x14ac:dyDescent="0.25">
      <c r="E43" s="6" t="s">
        <v>77</v>
      </c>
      <c r="F43" s="8">
        <f>LN(F37^2*F39)</f>
        <v>19.527793015800611</v>
      </c>
      <c r="G43" s="7"/>
      <c r="H43" s="6" t="s">
        <v>77</v>
      </c>
      <c r="I43" s="8">
        <f>LN(I37^2*I39)</f>
        <v>19.061051737377358</v>
      </c>
      <c r="K43" s="6" t="s">
        <v>77</v>
      </c>
      <c r="L43" s="8">
        <f>LN(L37^2*L39)</f>
        <v>18.516449182889758</v>
      </c>
      <c r="N43" s="6" t="s">
        <v>77</v>
      </c>
      <c r="O43" s="8">
        <f>LN(O37^2*O39)</f>
        <v>18.109928449333328</v>
      </c>
      <c r="Q43" s="6" t="s">
        <v>77</v>
      </c>
      <c r="R43" s="8">
        <f>LN(R37^2*R39)</f>
        <v>17.779064057564685</v>
      </c>
    </row>
    <row r="44" spans="5:18" ht="15.75" thickBot="1" x14ac:dyDescent="0.3">
      <c r="E44" s="9" t="s">
        <v>78</v>
      </c>
      <c r="F44" s="11">
        <f>LN(F41)</f>
        <v>3.9160855142075777</v>
      </c>
      <c r="H44" s="9" t="s">
        <v>78</v>
      </c>
      <c r="I44" s="11">
        <f>LN(I41)</f>
        <v>3.8200714670421938</v>
      </c>
      <c r="K44" s="9" t="s">
        <v>78</v>
      </c>
      <c r="L44" s="11">
        <f>LN(L41)</f>
        <v>3.5362071103052695</v>
      </c>
      <c r="N44" s="9" t="s">
        <v>78</v>
      </c>
      <c r="O44" s="11">
        <f>LN(O41)</f>
        <v>3.4459152929457124</v>
      </c>
      <c r="Q44" s="9" t="s">
        <v>78</v>
      </c>
      <c r="R44" s="11">
        <f>LN(R41)</f>
        <v>3.181725099424487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E4823-CEE7-40C1-A4EB-7DD1EAE6BD38}">
  <sheetPr codeName="Tabelle4"/>
  <dimension ref="A1:R44"/>
  <sheetViews>
    <sheetView topLeftCell="A2" zoomScale="90" zoomScaleNormal="90" workbookViewId="0">
      <selection activeCell="C9" sqref="C9"/>
    </sheetView>
  </sheetViews>
  <sheetFormatPr baseColWidth="10" defaultRowHeight="15" x14ac:dyDescent="0.25"/>
  <cols>
    <col min="1" max="4" width="11.42578125" style="21"/>
    <col min="5" max="5" width="27.28515625" style="21" bestFit="1" customWidth="1"/>
    <col min="6" max="6" width="17" style="21" bestFit="1" customWidth="1"/>
    <col min="7" max="7" width="19.85546875" style="21" bestFit="1" customWidth="1"/>
    <col min="8" max="8" width="24.140625" style="21" bestFit="1" customWidth="1"/>
    <col min="9" max="9" width="17" style="21" bestFit="1" customWidth="1"/>
    <col min="10" max="10" width="11.42578125" style="21"/>
    <col min="11" max="11" width="24.140625" style="21" bestFit="1" customWidth="1"/>
    <col min="12" max="12" width="17" style="21" bestFit="1" customWidth="1"/>
    <col min="13" max="13" width="11.42578125" style="21"/>
    <col min="14" max="14" width="24.140625" style="21" bestFit="1" customWidth="1"/>
    <col min="15" max="15" width="17" style="21" bestFit="1" customWidth="1"/>
    <col min="16" max="16" width="14.7109375" style="21" customWidth="1"/>
    <col min="17" max="17" width="27.28515625" style="21" bestFit="1" customWidth="1"/>
    <col min="18" max="18" width="17.85546875" style="21" bestFit="1" customWidth="1"/>
    <col min="19" max="16384" width="11.42578125" style="21"/>
  </cols>
  <sheetData>
    <row r="1" spans="1:18" ht="19.5" thickBot="1" x14ac:dyDescent="0.35">
      <c r="A1" s="21" t="s">
        <v>97</v>
      </c>
      <c r="E1" s="36" t="s">
        <v>79</v>
      </c>
      <c r="F1" s="4"/>
      <c r="G1" s="4"/>
      <c r="H1" s="36" t="s">
        <v>81</v>
      </c>
      <c r="I1" s="4"/>
      <c r="K1" s="36" t="s">
        <v>82</v>
      </c>
      <c r="L1" s="4"/>
      <c r="M1" s="7"/>
      <c r="N1" s="36" t="s">
        <v>83</v>
      </c>
      <c r="O1" s="4"/>
      <c r="Q1" s="36" t="s">
        <v>84</v>
      </c>
      <c r="R1" s="4"/>
    </row>
    <row r="2" spans="1:18" x14ac:dyDescent="0.25">
      <c r="E2" s="13" t="s">
        <v>20</v>
      </c>
      <c r="F2" s="37">
        <f>Daten!N8</f>
        <v>28.82</v>
      </c>
      <c r="H2" s="13" t="s">
        <v>20</v>
      </c>
      <c r="I2" s="37">
        <f>Daten!O8</f>
        <v>29.54</v>
      </c>
      <c r="K2" s="13" t="s">
        <v>20</v>
      </c>
      <c r="L2" s="37">
        <f>Daten!P8</f>
        <v>29.4</v>
      </c>
      <c r="M2" s="7"/>
      <c r="N2" s="13" t="s">
        <v>20</v>
      </c>
      <c r="O2" s="37">
        <f>Daten!Q8</f>
        <v>29.8</v>
      </c>
      <c r="Q2" s="13" t="s">
        <v>20</v>
      </c>
      <c r="R2" s="37">
        <f>Daten!R8</f>
        <v>30.53</v>
      </c>
    </row>
    <row r="3" spans="1:18" x14ac:dyDescent="0.25">
      <c r="B3" s="24" t="s">
        <v>18</v>
      </c>
      <c r="C3" s="26"/>
      <c r="E3" s="14" t="s">
        <v>21</v>
      </c>
      <c r="F3" s="38">
        <f>Daten!N7</f>
        <v>20.51</v>
      </c>
      <c r="H3" s="14" t="s">
        <v>21</v>
      </c>
      <c r="I3" s="38">
        <f>Daten!O7</f>
        <v>20.399999999999999</v>
      </c>
      <c r="K3" s="14" t="s">
        <v>21</v>
      </c>
      <c r="L3" s="38">
        <f>Daten!P7</f>
        <v>20.420000000000002</v>
      </c>
      <c r="M3" s="7"/>
      <c r="N3" s="14" t="s">
        <v>21</v>
      </c>
      <c r="O3" s="38">
        <f>Daten!Q7</f>
        <v>20.39</v>
      </c>
      <c r="Q3" s="14" t="s">
        <v>21</v>
      </c>
      <c r="R3" s="38">
        <f>Daten!R7</f>
        <v>20.36</v>
      </c>
    </row>
    <row r="4" spans="1:18" x14ac:dyDescent="0.25">
      <c r="B4" s="40">
        <f>400*10^-3</f>
        <v>0.4</v>
      </c>
      <c r="C4" s="26"/>
      <c r="E4" s="14" t="s">
        <v>26</v>
      </c>
      <c r="F4" s="38">
        <f>AVERAGE(F2:F3)</f>
        <v>24.664999999999999</v>
      </c>
      <c r="H4" s="14" t="s">
        <v>26</v>
      </c>
      <c r="I4" s="38">
        <f>AVERAGE(I2:I3)</f>
        <v>24.97</v>
      </c>
      <c r="K4" s="14" t="s">
        <v>26</v>
      </c>
      <c r="L4" s="38">
        <f>AVERAGE(L2:L3)</f>
        <v>24.91</v>
      </c>
      <c r="M4" s="7"/>
      <c r="N4" s="14" t="s">
        <v>26</v>
      </c>
      <c r="O4" s="38">
        <f>AVERAGE(O2:O3)</f>
        <v>25.094999999999999</v>
      </c>
      <c r="Q4" s="14" t="s">
        <v>26</v>
      </c>
      <c r="R4" s="38">
        <f>AVERAGE(R2:R3)</f>
        <v>25.445</v>
      </c>
    </row>
    <row r="5" spans="1:18" x14ac:dyDescent="0.25">
      <c r="B5" s="24" t="s">
        <v>1</v>
      </c>
      <c r="C5" s="24" t="s">
        <v>2</v>
      </c>
      <c r="E5" s="14" t="s">
        <v>22</v>
      </c>
      <c r="F5" s="38">
        <f>Daten!N6</f>
        <v>55.97</v>
      </c>
      <c r="H5" s="14" t="s">
        <v>22</v>
      </c>
      <c r="I5" s="38">
        <f>Daten!O6</f>
        <v>56.3</v>
      </c>
      <c r="K5" s="14" t="s">
        <v>22</v>
      </c>
      <c r="L5" s="38">
        <f>Daten!P6</f>
        <v>55.8</v>
      </c>
      <c r="M5" s="7"/>
      <c r="N5" s="14" t="s">
        <v>22</v>
      </c>
      <c r="O5" s="38">
        <f>Daten!Q6</f>
        <v>55.7</v>
      </c>
      <c r="Q5" s="14" t="s">
        <v>22</v>
      </c>
      <c r="R5" s="38">
        <f>Daten!R6</f>
        <v>55.1</v>
      </c>
    </row>
    <row r="6" spans="1:18" x14ac:dyDescent="0.25">
      <c r="B6" s="41">
        <f>17.3*10^(-3)</f>
        <v>1.7299999999999999E-2</v>
      </c>
      <c r="C6" s="41">
        <f>21.3/1000</f>
        <v>2.1299999999999999E-2</v>
      </c>
      <c r="E6" s="14" t="s">
        <v>80</v>
      </c>
      <c r="F6" s="38">
        <v>30.7</v>
      </c>
      <c r="H6" s="14" t="s">
        <v>80</v>
      </c>
      <c r="I6" s="38">
        <v>30.7</v>
      </c>
      <c r="K6" s="14" t="s">
        <v>80</v>
      </c>
      <c r="L6" s="38">
        <v>30.7</v>
      </c>
      <c r="M6" s="7"/>
      <c r="N6" s="14" t="s">
        <v>80</v>
      </c>
      <c r="O6" s="38">
        <v>30.7</v>
      </c>
      <c r="Q6" s="14" t="s">
        <v>80</v>
      </c>
      <c r="R6" s="38">
        <v>30.7</v>
      </c>
    </row>
    <row r="7" spans="1:18" x14ac:dyDescent="0.25">
      <c r="B7" s="24" t="s">
        <v>15</v>
      </c>
      <c r="C7" s="24" t="s">
        <v>16</v>
      </c>
      <c r="E7" s="14" t="s">
        <v>71</v>
      </c>
      <c r="F7" s="42">
        <f>AVERAGE(F16,F5)</f>
        <v>56.044141323760797</v>
      </c>
      <c r="H7" s="14" t="s">
        <v>71</v>
      </c>
      <c r="I7" s="42">
        <f>AVERAGE(I16,I5)</f>
        <v>56.364070767670036</v>
      </c>
      <c r="K7" s="14" t="s">
        <v>71</v>
      </c>
      <c r="L7" s="42">
        <f>AVERAGE(L16,L5)</f>
        <v>55.853725875685583</v>
      </c>
      <c r="M7" s="7"/>
      <c r="N7" s="14" t="s">
        <v>71</v>
      </c>
      <c r="O7" s="42">
        <f>AVERAGE(O16,O5)</f>
        <v>55.741766697135155</v>
      </c>
      <c r="Q7" s="14" t="s">
        <v>71</v>
      </c>
      <c r="R7" s="42">
        <f>AVERAGE(R16,R5)</f>
        <v>55.137286990125645</v>
      </c>
    </row>
    <row r="8" spans="1:18" x14ac:dyDescent="0.25">
      <c r="B8" s="41">
        <f>29.7/1000</f>
        <v>2.9700000000000001E-2</v>
      </c>
      <c r="C8" s="41">
        <f>33.7/1000</f>
        <v>3.3700000000000001E-2</v>
      </c>
      <c r="E8" s="14" t="s">
        <v>17</v>
      </c>
      <c r="F8" s="8">
        <f>Daten!N4</f>
        <v>24.9</v>
      </c>
      <c r="H8" s="14" t="s">
        <v>17</v>
      </c>
      <c r="I8" s="8">
        <f>Daten!O4</f>
        <v>19.7</v>
      </c>
      <c r="K8" s="14" t="s">
        <v>17</v>
      </c>
      <c r="L8" s="8">
        <f>Daten!P4</f>
        <v>16</v>
      </c>
      <c r="M8" s="7"/>
      <c r="N8" s="14" t="s">
        <v>17</v>
      </c>
      <c r="O8" s="8">
        <f>Daten!Q4</f>
        <v>12.1</v>
      </c>
      <c r="Q8" s="14" t="s">
        <v>17</v>
      </c>
      <c r="R8" s="8">
        <f>Daten!R4</f>
        <v>9.9</v>
      </c>
    </row>
    <row r="9" spans="1:18" x14ac:dyDescent="0.25">
      <c r="E9" s="14" t="s">
        <v>19</v>
      </c>
      <c r="F9" s="42">
        <f>F8*((273+F4)/(273))</f>
        <v>27.149664835164835</v>
      </c>
      <c r="H9" s="14" t="s">
        <v>19</v>
      </c>
      <c r="I9" s="42">
        <f>I8*((273+I4)/(273))</f>
        <v>21.501864468864468</v>
      </c>
      <c r="K9" s="14" t="s">
        <v>19</v>
      </c>
      <c r="L9" s="42">
        <f>L8*((273+L4)/(273))</f>
        <v>17.45992673992674</v>
      </c>
      <c r="M9" s="7"/>
      <c r="N9" s="14" t="s">
        <v>19</v>
      </c>
      <c r="O9" s="42">
        <f>O8*((273+O4)/(273))</f>
        <v>13.21226923076923</v>
      </c>
      <c r="Q9" s="14" t="s">
        <v>19</v>
      </c>
      <c r="R9" s="42">
        <f>R8*((273+R4)/(273))</f>
        <v>10.82273076923077</v>
      </c>
    </row>
    <row r="10" spans="1:18" ht="15.75" thickBot="1" x14ac:dyDescent="0.3">
      <c r="E10" s="15" t="s">
        <v>24</v>
      </c>
      <c r="F10" s="39">
        <f>Daten!N3/1000</f>
        <v>0.43099999999999999</v>
      </c>
      <c r="G10" s="7"/>
      <c r="H10" s="15" t="s">
        <v>24</v>
      </c>
      <c r="I10" s="39">
        <f>Daten!O3/1000</f>
        <v>0.434</v>
      </c>
      <c r="K10" s="15" t="s">
        <v>24</v>
      </c>
      <c r="L10" s="39">
        <f>Daten!P3/1000</f>
        <v>0.41299999999999998</v>
      </c>
      <c r="M10" s="7"/>
      <c r="N10" s="15" t="s">
        <v>24</v>
      </c>
      <c r="O10" s="39">
        <f>Daten!Q3/1000</f>
        <v>0.42099999999999999</v>
      </c>
      <c r="Q10" s="15" t="s">
        <v>24</v>
      </c>
      <c r="R10" s="39">
        <f>Daten!R3/1000</f>
        <v>0.41699999999999998</v>
      </c>
    </row>
    <row r="11" spans="1:18" ht="15.75" thickBot="1" x14ac:dyDescent="0.3">
      <c r="B11" s="21" t="s">
        <v>85</v>
      </c>
      <c r="C11" s="45">
        <f>EXP(INTERCEPT(B15:B19,C15:C19))</f>
        <v>2.5252060945240257E-2</v>
      </c>
      <c r="F11" s="7"/>
      <c r="G11" s="7"/>
      <c r="I11" s="7"/>
      <c r="L11" s="7"/>
      <c r="M11" s="7"/>
      <c r="O11" s="7"/>
      <c r="P11" s="7"/>
      <c r="R11" s="7"/>
    </row>
    <row r="12" spans="1:18" x14ac:dyDescent="0.25">
      <c r="B12" s="21" t="s">
        <v>86</v>
      </c>
      <c r="C12" s="45">
        <f>SLOPE(B15:B19,C15:C19)</f>
        <v>0.38626964062061087</v>
      </c>
      <c r="E12" s="13" t="s">
        <v>27</v>
      </c>
      <c r="F12" s="12">
        <f>(F9/3600*Konstanten!$F$6)/(Konstanten!$F$2*1000*(273+F4))</f>
        <v>8.8522325375773644E-3</v>
      </c>
      <c r="G12" s="7"/>
      <c r="H12" s="13" t="s">
        <v>27</v>
      </c>
      <c r="I12" s="12">
        <f>(I9/3600*Konstanten!$F$6)/(Konstanten!$F$2*1000*(273+I4))</f>
        <v>7.0035735337459475E-3</v>
      </c>
      <c r="K12" s="13" t="s">
        <v>27</v>
      </c>
      <c r="L12" s="12">
        <f>(L9/3600*Konstanten!$F$6)/(Konstanten!$F$2*1000*(273+L4))</f>
        <v>5.6881815502505149E-3</v>
      </c>
      <c r="M12" s="7"/>
      <c r="N12" s="13" t="s">
        <v>27</v>
      </c>
      <c r="O12" s="12">
        <f>(O9/3600*Konstanten!$F$6)/(Konstanten!$F$2*1000*(273+O4))</f>
        <v>4.3016872973769523E-3</v>
      </c>
      <c r="P12" s="7"/>
      <c r="Q12" s="13" t="s">
        <v>27</v>
      </c>
      <c r="R12" s="12">
        <f>(R9/3600*Konstanten!$F$6)/(Konstanten!$F$2*1000*(273+R4))</f>
        <v>3.5195623342175065E-3</v>
      </c>
    </row>
    <row r="13" spans="1:18" x14ac:dyDescent="0.25">
      <c r="E13" s="16" t="s">
        <v>28</v>
      </c>
      <c r="F13" s="43">
        <f>F12*Konstanten!$F$3*(F2-F3)</f>
        <v>73.92986264920421</v>
      </c>
      <c r="G13" s="7"/>
      <c r="H13" s="16" t="s">
        <v>28</v>
      </c>
      <c r="I13" s="43">
        <f>I12*Konstanten!$F$3*(I2-I3)</f>
        <v>64.332725408930145</v>
      </c>
      <c r="K13" s="16" t="s">
        <v>28</v>
      </c>
      <c r="L13" s="43">
        <f>L12*Konstanten!$F$3*(L2-L3)</f>
        <v>51.335269672855851</v>
      </c>
      <c r="M13" s="7"/>
      <c r="N13" s="16" t="s">
        <v>28</v>
      </c>
      <c r="O13" s="43">
        <f>O12*Konstanten!$F$3*(O2-O3)</f>
        <v>40.6812718556587</v>
      </c>
      <c r="P13" s="7"/>
      <c r="Q13" s="16" t="s">
        <v>28</v>
      </c>
      <c r="R13" s="43">
        <f>R12*Konstanten!$F$3*(R2-R3)</f>
        <v>35.972918683687006</v>
      </c>
    </row>
    <row r="14" spans="1:18" x14ac:dyDescent="0.25">
      <c r="B14" s="21" t="s">
        <v>87</v>
      </c>
      <c r="C14" s="21" t="s">
        <v>88</v>
      </c>
      <c r="E14" s="14" t="s">
        <v>29</v>
      </c>
      <c r="F14" s="23">
        <f>wdichte_W(F6)*F10/3600</f>
        <v>0.11913355607694445</v>
      </c>
      <c r="G14" s="7"/>
      <c r="H14" s="14" t="s">
        <v>29</v>
      </c>
      <c r="I14" s="23">
        <f>wdichte_W(I6)*I10/3600</f>
        <v>0.11996279196611111</v>
      </c>
      <c r="K14" s="14" t="s">
        <v>29</v>
      </c>
      <c r="L14" s="23">
        <f>wdichte_W(L6)*L10/3600</f>
        <v>0.11415814074194444</v>
      </c>
      <c r="M14" s="7"/>
      <c r="N14" s="14" t="s">
        <v>29</v>
      </c>
      <c r="O14" s="23">
        <f>wdichte_W(O6)*O10/3600</f>
        <v>0.11636943644638889</v>
      </c>
      <c r="P14" s="7"/>
      <c r="Q14" s="14" t="s">
        <v>29</v>
      </c>
      <c r="R14" s="23">
        <f>wdichte_W(R6)*R10/3600</f>
        <v>0.11526378859416667</v>
      </c>
    </row>
    <row r="15" spans="1:18" x14ac:dyDescent="0.25">
      <c r="B15" s="21">
        <f>F44</f>
        <v>4.3257926562785212</v>
      </c>
      <c r="C15" s="21">
        <f>F43</f>
        <v>20.616208698296699</v>
      </c>
      <c r="E15" s="16" t="s">
        <v>30</v>
      </c>
      <c r="F15" s="17">
        <f>F13/(F14*Konstanten!$F$4)</f>
        <v>0.1482826475216015</v>
      </c>
      <c r="G15" s="7"/>
      <c r="H15" s="16" t="s">
        <v>30</v>
      </c>
      <c r="I15" s="17">
        <f>I13/(I14*Konstanten!$F$4)</f>
        <v>0.12814153534007813</v>
      </c>
      <c r="K15" s="16" t="s">
        <v>30</v>
      </c>
      <c r="L15" s="17">
        <f>L13/(L14*Konstanten!$F$4)</f>
        <v>0.10745175137117492</v>
      </c>
      <c r="M15" s="7"/>
      <c r="N15" s="16" t="s">
        <v>30</v>
      </c>
      <c r="O15" s="17">
        <f>O13/(O14*Konstanten!$F$4)</f>
        <v>8.3533394270302014E-2</v>
      </c>
      <c r="P15" s="7"/>
      <c r="Q15" s="16" t="s">
        <v>30</v>
      </c>
      <c r="R15" s="17">
        <f>R13/(R14*Konstanten!$F$4)</f>
        <v>7.4573980251287114E-2</v>
      </c>
    </row>
    <row r="16" spans="1:18" x14ac:dyDescent="0.25">
      <c r="B16" s="21">
        <f>I44</f>
        <v>4.1807718723809764</v>
      </c>
      <c r="C16" s="21">
        <f>I43</f>
        <v>20.146108290980091</v>
      </c>
      <c r="E16" s="14" t="s">
        <v>23</v>
      </c>
      <c r="F16" s="23">
        <f>F5+F15</f>
        <v>56.118282647521603</v>
      </c>
      <c r="G16" s="7"/>
      <c r="H16" s="14" t="s">
        <v>23</v>
      </c>
      <c r="I16" s="23">
        <f>I5+I15</f>
        <v>56.428141535340075</v>
      </c>
      <c r="K16" s="14" t="s">
        <v>23</v>
      </c>
      <c r="L16" s="23">
        <f>L5+L15</f>
        <v>55.90745175137117</v>
      </c>
      <c r="M16" s="7"/>
      <c r="N16" s="14" t="s">
        <v>23</v>
      </c>
      <c r="O16" s="23">
        <f>O5+O15</f>
        <v>55.783533394270307</v>
      </c>
      <c r="P16" s="7"/>
      <c r="Q16" s="14" t="s">
        <v>23</v>
      </c>
      <c r="R16" s="23">
        <f>R5+R15</f>
        <v>55.174573980251289</v>
      </c>
    </row>
    <row r="17" spans="2:18" x14ac:dyDescent="0.25">
      <c r="B17" s="21">
        <f>L44</f>
        <v>3.9632873963570994</v>
      </c>
      <c r="C17" s="21">
        <f>L43</f>
        <v>19.730363511376176</v>
      </c>
      <c r="E17" s="16" t="s">
        <v>61</v>
      </c>
      <c r="F17" s="17">
        <f>((F5-F3)-(F16-F2))/LN((F5-F3)/(F16-F2))</f>
        <v>31.20143102774913</v>
      </c>
      <c r="G17" s="7"/>
      <c r="H17" s="16" t="s">
        <v>61</v>
      </c>
      <c r="I17" s="17">
        <f>((I5-I3)-(I16-I2))/LN((I5-I3)/(I16-I2))</f>
        <v>31.17729784909444</v>
      </c>
      <c r="K17" s="16" t="s">
        <v>61</v>
      </c>
      <c r="L17" s="17">
        <f>((L5-L3)-(L16-L2))/LN((L5-L3)/(L16-L2))</f>
        <v>30.730547773647768</v>
      </c>
      <c r="M17" s="7"/>
      <c r="N17" s="16" t="s">
        <v>61</v>
      </c>
      <c r="O17" s="17">
        <f>((O5-O3)-(O16-O2))/LN((O5-O3)/(O16-O2))</f>
        <v>30.408768144132583</v>
      </c>
      <c r="P17" s="7"/>
      <c r="Q17" s="16" t="s">
        <v>61</v>
      </c>
      <c r="R17" s="17">
        <f>((R5-R3)-(R16-R2))/LN((R5-R3)/(R16-R2))</f>
        <v>29.40401011304554</v>
      </c>
    </row>
    <row r="18" spans="2:18" ht="15.75" thickBot="1" x14ac:dyDescent="0.3">
      <c r="B18" s="21">
        <f>O44</f>
        <v>3.7309732840024803</v>
      </c>
      <c r="C18" s="21">
        <f>L43</f>
        <v>19.730363511376176</v>
      </c>
      <c r="E18" s="30" t="s">
        <v>89</v>
      </c>
      <c r="F18" s="44">
        <f>F13/(F17*$B$4*PI()*$C$6)</f>
        <v>88.522958280638804</v>
      </c>
      <c r="G18" s="7"/>
      <c r="H18" s="30" t="s">
        <v>89</v>
      </c>
      <c r="I18" s="44">
        <f>I13/(I17*$B$4*PI()*$C$6)</f>
        <v>77.09105887620872</v>
      </c>
      <c r="K18" s="30" t="s">
        <v>89</v>
      </c>
      <c r="L18" s="44">
        <f>L13/(L17*$B$4*PI()*$C$6)</f>
        <v>62.410272477975987</v>
      </c>
      <c r="M18" s="7"/>
      <c r="N18" s="30" t="s">
        <v>89</v>
      </c>
      <c r="O18" s="44">
        <f>O13/(O17*$B$4*PI()*$C$6)</f>
        <v>49.981148046058578</v>
      </c>
      <c r="P18" s="7"/>
      <c r="Q18" s="30" t="s">
        <v>89</v>
      </c>
      <c r="R18" s="44">
        <f>R13/(R17*$B$4*PI()*$C$6)</f>
        <v>45.70667668762777</v>
      </c>
    </row>
    <row r="19" spans="2:18" ht="15.75" thickBot="1" x14ac:dyDescent="0.3">
      <c r="B19" s="21">
        <f>R44</f>
        <v>3.6419591870404506</v>
      </c>
      <c r="C19" s="21">
        <f>R43</f>
        <v>18.767448379800381</v>
      </c>
      <c r="G19" s="7"/>
    </row>
    <row r="20" spans="2:18" x14ac:dyDescent="0.25">
      <c r="E20" s="13" t="s">
        <v>62</v>
      </c>
      <c r="F20" s="5"/>
      <c r="G20" s="7"/>
      <c r="H20" s="13" t="s">
        <v>62</v>
      </c>
      <c r="I20" s="5"/>
      <c r="K20" s="13" t="s">
        <v>62</v>
      </c>
      <c r="L20" s="5"/>
      <c r="N20" s="13" t="s">
        <v>62</v>
      </c>
      <c r="O20" s="5"/>
      <c r="Q20" s="13" t="s">
        <v>62</v>
      </c>
      <c r="R20" s="5"/>
    </row>
    <row r="21" spans="2:18" x14ac:dyDescent="0.25">
      <c r="E21" s="25" t="s">
        <v>63</v>
      </c>
      <c r="F21" s="34">
        <f>$B$8-$C$6</f>
        <v>8.4000000000000012E-3</v>
      </c>
      <c r="G21" s="7"/>
      <c r="H21" s="25" t="s">
        <v>63</v>
      </c>
      <c r="I21" s="34">
        <f>$B$8-$C$6</f>
        <v>8.4000000000000012E-3</v>
      </c>
      <c r="K21" s="25" t="s">
        <v>63</v>
      </c>
      <c r="L21" s="34">
        <f>$B$8-$C$6</f>
        <v>8.4000000000000012E-3</v>
      </c>
      <c r="N21" s="25" t="s">
        <v>63</v>
      </c>
      <c r="O21" s="34">
        <f>$B$8-$C$6</f>
        <v>8.4000000000000012E-3</v>
      </c>
      <c r="Q21" s="25" t="s">
        <v>63</v>
      </c>
      <c r="R21" s="34">
        <f>$B$8-$C$6</f>
        <v>8.4000000000000012E-3</v>
      </c>
    </row>
    <row r="22" spans="2:18" x14ac:dyDescent="0.25">
      <c r="E22" s="31" t="s">
        <v>75</v>
      </c>
      <c r="F22" s="32">
        <f>PI()/4*(B8^2-C6^2)</f>
        <v>3.3646457319946692E-4</v>
      </c>
      <c r="G22" s="7"/>
      <c r="H22" s="31" t="s">
        <v>75</v>
      </c>
      <c r="I22" s="32">
        <f>PI()/4*($B$8^2-$C$6^2)</f>
        <v>3.3646457319946692E-4</v>
      </c>
      <c r="K22" s="31" t="s">
        <v>75</v>
      </c>
      <c r="L22" s="32">
        <f>PI()/4*($B$8^2-$C$6^2)</f>
        <v>3.3646457319946692E-4</v>
      </c>
      <c r="N22" s="31" t="s">
        <v>75</v>
      </c>
      <c r="O22" s="32">
        <f>PI()/4*($B$8^2-$C$6^2)</f>
        <v>3.3646457319946692E-4</v>
      </c>
      <c r="Q22" s="31" t="s">
        <v>75</v>
      </c>
      <c r="R22" s="32">
        <f>PI()/4*($B$8^2-$C$6^2)</f>
        <v>3.3646457319946692E-4</v>
      </c>
    </row>
    <row r="23" spans="2:18" x14ac:dyDescent="0.25">
      <c r="E23" s="25" t="s">
        <v>64</v>
      </c>
      <c r="F23" s="27">
        <f>F10/F22/3600</f>
        <v>0.3558241543345102</v>
      </c>
      <c r="G23" s="7"/>
      <c r="H23" s="25" t="s">
        <v>64</v>
      </c>
      <c r="I23" s="27">
        <f>I10/I22/3600</f>
        <v>0.3583008885874186</v>
      </c>
      <c r="K23" s="25" t="s">
        <v>64</v>
      </c>
      <c r="L23" s="27">
        <f>L10/L22/3600</f>
        <v>0.34096374881705965</v>
      </c>
      <c r="N23" s="25" t="s">
        <v>64</v>
      </c>
      <c r="O23" s="27">
        <f>O10/O22/3600</f>
        <v>0.34756837349148212</v>
      </c>
      <c r="Q23" s="25" t="s">
        <v>64</v>
      </c>
      <c r="R23" s="27">
        <f>R10/R22/3600</f>
        <v>0.34426606115427083</v>
      </c>
    </row>
    <row r="24" spans="2:18" x14ac:dyDescent="0.25">
      <c r="E24" s="31" t="s">
        <v>65</v>
      </c>
      <c r="F24" s="33">
        <f>F23*F21/kvisko_W(F7)</f>
        <v>5974.9332370693573</v>
      </c>
      <c r="G24" s="7"/>
      <c r="H24" s="31" t="s">
        <v>65</v>
      </c>
      <c r="I24" s="33">
        <f>I23*I21/kvisko_W(I7)</f>
        <v>6046.3088437917631</v>
      </c>
      <c r="K24" s="31" t="s">
        <v>65</v>
      </c>
      <c r="L24" s="33">
        <f>L23*L21/kvisko_W(L7)</f>
        <v>5708.5334670933717</v>
      </c>
      <c r="N24" s="31" t="s">
        <v>65</v>
      </c>
      <c r="O24" s="33">
        <f>O23*O21/kvisko_W(O7)</f>
        <v>5809.0027525434325</v>
      </c>
      <c r="Q24" s="31" t="s">
        <v>65</v>
      </c>
      <c r="R24" s="33">
        <f>R23*R21/kvisko_W(R7)</f>
        <v>5699.7790508124372</v>
      </c>
    </row>
    <row r="25" spans="2:18" x14ac:dyDescent="0.25">
      <c r="E25" s="25" t="s">
        <v>72</v>
      </c>
      <c r="F25" s="27">
        <f>wdichte_W(F7)</f>
        <v>985.43826980324843</v>
      </c>
      <c r="G25" s="7"/>
      <c r="H25" s="25" t="s">
        <v>72</v>
      </c>
      <c r="I25" s="27">
        <f>wdichte_W(I7)</f>
        <v>985.28614003028611</v>
      </c>
      <c r="K25" s="25" t="s">
        <v>72</v>
      </c>
      <c r="L25" s="27">
        <f>wdichte_W(L6)</f>
        <v>995.08306700000003</v>
      </c>
      <c r="N25" s="25" t="s">
        <v>72</v>
      </c>
      <c r="O25" s="27">
        <f>wdichte_W(O7)</f>
        <v>985.58135585313471</v>
      </c>
      <c r="Q25" s="25" t="s">
        <v>72</v>
      </c>
      <c r="R25" s="27">
        <f>wdichte_W(R7)</f>
        <v>985.86537215385204</v>
      </c>
    </row>
    <row r="26" spans="2:18" x14ac:dyDescent="0.25">
      <c r="E26" s="31" t="s">
        <v>66</v>
      </c>
      <c r="F26" s="33">
        <f>Konstanten!$F$4*kvisko_W(F7)*F25/wlf_W(F7)</f>
        <v>3.1844395178133582</v>
      </c>
      <c r="G26" s="7"/>
      <c r="H26" s="31" t="s">
        <v>66</v>
      </c>
      <c r="I26" s="33">
        <f>Konstanten!$F$4*kvisko_W(I7)*I25/wlf_W(I7)</f>
        <v>3.1665909027841215</v>
      </c>
      <c r="K26" s="31" t="s">
        <v>66</v>
      </c>
      <c r="L26" s="33">
        <f>Konstanten!$F$4*kvisko_W(L7)*L25/wlf_W(L7)</f>
        <v>3.2261256056540129</v>
      </c>
      <c r="N26" s="31" t="s">
        <v>66</v>
      </c>
      <c r="O26" s="33">
        <f>Konstanten!$F$4*kvisko_W(O6)*O25/wlf_W(O6)</f>
        <v>5.3398451297924163</v>
      </c>
      <c r="Q26" s="31" t="s">
        <v>66</v>
      </c>
      <c r="R26" s="33">
        <f>Konstanten!$F$4*kvisko_W(R7)*R25/wlf_W(R7)</f>
        <v>3.2360278305756656</v>
      </c>
    </row>
    <row r="27" spans="2:18" x14ac:dyDescent="0.25">
      <c r="E27" s="25" t="s">
        <v>73</v>
      </c>
      <c r="F27" s="29">
        <f>0.023*(F24^2*F26)^0.4</f>
        <v>38.371385730563894</v>
      </c>
      <c r="G27" s="7"/>
      <c r="H27" s="25" t="s">
        <v>73</v>
      </c>
      <c r="I27" s="29">
        <f>0.023*(I24^2*I26)^0.4</f>
        <v>38.650657082441775</v>
      </c>
      <c r="K27" s="25" t="s">
        <v>73</v>
      </c>
      <c r="L27" s="29">
        <f>0.023*(L24^2*L26)^0.4</f>
        <v>37.18946974042607</v>
      </c>
      <c r="N27" s="25" t="s">
        <v>73</v>
      </c>
      <c r="O27" s="29">
        <f>0.023*(O24^2*O26)^0.4</f>
        <v>46.133942119941565</v>
      </c>
      <c r="Q27" s="25" t="s">
        <v>73</v>
      </c>
      <c r="R27" s="29">
        <f>0.023*(R24^2*R26)^0.4</f>
        <v>37.189398301874384</v>
      </c>
    </row>
    <row r="28" spans="2:18" x14ac:dyDescent="0.25">
      <c r="E28" s="46" t="s">
        <v>69</v>
      </c>
      <c r="F28" s="53">
        <f>F27/F21*wlf_W(F7)</f>
        <v>2959.3868127370329</v>
      </c>
      <c r="G28" s="54"/>
      <c r="H28" s="46" t="s">
        <v>69</v>
      </c>
      <c r="I28" s="53">
        <f>I27/I21*wlf_W(I7)</f>
        <v>2982.4990632242934</v>
      </c>
      <c r="J28" s="55"/>
      <c r="K28" s="46" t="s">
        <v>69</v>
      </c>
      <c r="L28" s="53">
        <f>L27/L21*wlf_W(L7)</f>
        <v>2867.3266298445828</v>
      </c>
      <c r="M28" s="55"/>
      <c r="N28" s="46" t="s">
        <v>69</v>
      </c>
      <c r="O28" s="53">
        <f>O27/O21*wlf_W(O7)</f>
        <v>3556.2880009961423</v>
      </c>
      <c r="P28" s="55"/>
      <c r="Q28" s="46" t="s">
        <v>69</v>
      </c>
      <c r="R28" s="53">
        <f>R27/R21*wlf_W(R7)</f>
        <v>2863.8889162395817</v>
      </c>
    </row>
    <row r="29" spans="2:18" x14ac:dyDescent="0.25">
      <c r="E29" s="6"/>
      <c r="F29" s="8"/>
      <c r="G29" s="7"/>
      <c r="H29" s="6"/>
      <c r="I29" s="8"/>
      <c r="K29" s="6"/>
      <c r="L29" s="8"/>
      <c r="N29" s="6"/>
      <c r="O29" s="8"/>
      <c r="Q29" s="6"/>
      <c r="R29" s="8"/>
    </row>
    <row r="30" spans="2:18" x14ac:dyDescent="0.25">
      <c r="E30" s="6"/>
      <c r="F30" s="8"/>
      <c r="G30" s="7"/>
      <c r="H30" s="6"/>
      <c r="I30" s="8"/>
      <c r="K30" s="6"/>
      <c r="L30" s="8"/>
      <c r="N30" s="6"/>
      <c r="O30" s="8"/>
      <c r="Q30" s="6"/>
      <c r="R30" s="8"/>
    </row>
    <row r="31" spans="2:18" ht="15.75" thickBot="1" x14ac:dyDescent="0.3">
      <c r="E31" s="9"/>
      <c r="F31" s="11"/>
      <c r="G31" s="7"/>
      <c r="H31" s="9"/>
      <c r="I31" s="11"/>
      <c r="K31" s="9"/>
      <c r="L31" s="11"/>
      <c r="N31" s="9"/>
      <c r="O31" s="11"/>
      <c r="Q31" s="9"/>
      <c r="R31" s="11"/>
    </row>
    <row r="32" spans="2:18" ht="15.75" thickBot="1" x14ac:dyDescent="0.3">
      <c r="E32" s="7"/>
      <c r="F32" s="7"/>
      <c r="G32" s="7"/>
      <c r="H32" s="7"/>
      <c r="I32" s="7"/>
      <c r="K32" s="7"/>
      <c r="L32" s="7"/>
      <c r="N32" s="7"/>
      <c r="O32" s="7"/>
      <c r="Q32" s="7"/>
      <c r="R32" s="7"/>
    </row>
    <row r="33" spans="5:18" x14ac:dyDescent="0.25">
      <c r="E33" s="13" t="s">
        <v>67</v>
      </c>
      <c r="F33" s="5"/>
      <c r="G33" s="7"/>
      <c r="H33" s="13" t="s">
        <v>67</v>
      </c>
      <c r="I33" s="5"/>
      <c r="K33" s="13" t="s">
        <v>67</v>
      </c>
      <c r="L33" s="5"/>
      <c r="N33" s="13" t="s">
        <v>67</v>
      </c>
      <c r="O33" s="5"/>
      <c r="Q33" s="13" t="s">
        <v>67</v>
      </c>
      <c r="R33" s="5"/>
    </row>
    <row r="34" spans="5:18" x14ac:dyDescent="0.25">
      <c r="E34" s="25" t="s">
        <v>68</v>
      </c>
      <c r="F34" s="34">
        <f>B6</f>
        <v>1.7299999999999999E-2</v>
      </c>
      <c r="G34" s="7"/>
      <c r="H34" s="25" t="s">
        <v>68</v>
      </c>
      <c r="I34" s="34">
        <f>$B$6</f>
        <v>1.7299999999999999E-2</v>
      </c>
      <c r="K34" s="25" t="s">
        <v>68</v>
      </c>
      <c r="L34" s="34">
        <f>$B$6</f>
        <v>1.7299999999999999E-2</v>
      </c>
      <c r="N34" s="25" t="s">
        <v>68</v>
      </c>
      <c r="O34" s="34">
        <f>$B$6</f>
        <v>1.7299999999999999E-2</v>
      </c>
      <c r="Q34" s="25" t="s">
        <v>68</v>
      </c>
      <c r="R34" s="34">
        <f>$B$6</f>
        <v>1.7299999999999999E-2</v>
      </c>
    </row>
    <row r="35" spans="5:18" x14ac:dyDescent="0.25">
      <c r="E35" s="31" t="s">
        <v>76</v>
      </c>
      <c r="F35" s="32">
        <f>PI()/4*F34^2</f>
        <v>2.3506181632322227E-4</v>
      </c>
      <c r="G35" s="7"/>
      <c r="H35" s="31" t="s">
        <v>76</v>
      </c>
      <c r="I35" s="32">
        <f>PI()/4*I34^2</f>
        <v>2.3506181632322227E-4</v>
      </c>
      <c r="K35" s="31" t="s">
        <v>76</v>
      </c>
      <c r="L35" s="32">
        <f>PI()/4*L34^2</f>
        <v>2.3506181632322227E-4</v>
      </c>
      <c r="N35" s="31" t="s">
        <v>76</v>
      </c>
      <c r="O35" s="32">
        <f>PI()/4*O34^2</f>
        <v>2.3506181632322227E-4</v>
      </c>
      <c r="Q35" s="31" t="s">
        <v>76</v>
      </c>
      <c r="R35" s="32">
        <f>PI()/4*R34^2</f>
        <v>2.3506181632322227E-4</v>
      </c>
    </row>
    <row r="36" spans="5:18" x14ac:dyDescent="0.25">
      <c r="E36" s="25" t="s">
        <v>64</v>
      </c>
      <c r="F36" s="27">
        <f>F9/F35/3600</f>
        <v>32.083362935277876</v>
      </c>
      <c r="G36" s="7"/>
      <c r="H36" s="25" t="s">
        <v>64</v>
      </c>
      <c r="I36" s="27">
        <f>I9/I35/3600</f>
        <v>25.409231595604197</v>
      </c>
      <c r="K36" s="25" t="s">
        <v>64</v>
      </c>
      <c r="L36" s="27">
        <f>L9/L35/3600</f>
        <v>20.632783860185416</v>
      </c>
      <c r="N36" s="25" t="s">
        <v>64</v>
      </c>
      <c r="O36" s="27">
        <f>O9/O35/3600</f>
        <v>15.613232483825623</v>
      </c>
      <c r="Q36" s="25" t="s">
        <v>64</v>
      </c>
      <c r="R36" s="27">
        <f>R9/R35/3600</f>
        <v>12.789461723678096</v>
      </c>
    </row>
    <row r="37" spans="5:18" x14ac:dyDescent="0.25">
      <c r="E37" s="31" t="s">
        <v>65</v>
      </c>
      <c r="F37" s="33">
        <f>F36*F34/kvisko_L(F4)</f>
        <v>35732.234529973015</v>
      </c>
      <c r="G37" s="7"/>
      <c r="H37" s="31" t="s">
        <v>65</v>
      </c>
      <c r="I37" s="33">
        <f>I36*I34/kvisko_L(I4)</f>
        <v>28247.929568336323</v>
      </c>
      <c r="K37" s="31" t="s">
        <v>65</v>
      </c>
      <c r="L37" s="33">
        <f>L36*L34/kvisko_L(L4)</f>
        <v>22946.017178711289</v>
      </c>
      <c r="N37" s="31" t="s">
        <v>65</v>
      </c>
      <c r="O37" s="33">
        <f>O36*O34/kvisko_L(O4)</f>
        <v>17344.683099042402</v>
      </c>
      <c r="Q37" s="31" t="s">
        <v>65</v>
      </c>
      <c r="R37" s="33">
        <f>R36*R34/kvisko_L(R4)</f>
        <v>14178.368835131956</v>
      </c>
    </row>
    <row r="38" spans="5:18" x14ac:dyDescent="0.25">
      <c r="E38" s="25" t="s">
        <v>70</v>
      </c>
      <c r="F38" s="28">
        <f>Konstanten!$F$6/(Konstanten!F2*(F4+273)*1000)</f>
        <v>1.1737911804348442</v>
      </c>
      <c r="G38" s="7"/>
      <c r="H38" s="25" t="s">
        <v>70</v>
      </c>
      <c r="I38" s="28">
        <f>Konstanten!$F$6/(Konstanten!$F$2*(I4+273)*1000)</f>
        <v>1.1725896960235525</v>
      </c>
      <c r="K38" s="25" t="s">
        <v>70</v>
      </c>
      <c r="L38" s="28">
        <f>Konstanten!$F$6/(Konstanten!$F$2*(L4+273)*1000)</f>
        <v>1.1728258592331171</v>
      </c>
      <c r="N38" s="25" t="s">
        <v>70</v>
      </c>
      <c r="O38" s="28">
        <f>Konstanten!$F$6/(Konstanten!$F$2*(O4+273)*1000)</f>
        <v>1.1720979946800112</v>
      </c>
      <c r="Q38" s="25" t="s">
        <v>70</v>
      </c>
      <c r="R38" s="28">
        <f>Konstanten!$F$6/(Konstanten!$F$2*(R4+273)*1000)</f>
        <v>1.1707234221519476</v>
      </c>
    </row>
    <row r="39" spans="5:18" x14ac:dyDescent="0.25">
      <c r="E39" s="31" t="s">
        <v>66</v>
      </c>
      <c r="F39" s="33">
        <f>Konstanten!$F$3*kvisko_L(F4)*F38/wlf_L(F4)</f>
        <v>0.70369639111092408</v>
      </c>
      <c r="G39" s="7"/>
      <c r="H39" s="31" t="s">
        <v>66</v>
      </c>
      <c r="I39" s="33">
        <f>Konstanten!$F$3*kvisko_L(I4)*I38/wlf_L(I4)</f>
        <v>0.70367224130306172</v>
      </c>
      <c r="K39" s="31" t="s">
        <v>66</v>
      </c>
      <c r="L39" s="33">
        <f>Konstanten!$F$3*kvisko_L(L4)*L38/wlf_L(L4)</f>
        <v>0.70367702270658017</v>
      </c>
      <c r="N39" s="31" t="s">
        <v>66</v>
      </c>
      <c r="O39" s="33">
        <f>Konstanten!$F$3*kvisko_L(O4)*O38/wlf_L(O4)</f>
        <v>0.70366223197892219</v>
      </c>
      <c r="Q39" s="31" t="s">
        <v>66</v>
      </c>
      <c r="R39" s="33">
        <f>Konstanten!$F$3*kvisko_L(R4)*R38/wlf_L(R4)</f>
        <v>0.70363386124615079</v>
      </c>
    </row>
    <row r="40" spans="5:18" x14ac:dyDescent="0.25">
      <c r="E40" s="46" t="s">
        <v>90</v>
      </c>
      <c r="F40" s="55">
        <f>((1/F18-($C$6/(2*Konstanten!$F$5)*LN($C$6/$B$6))-1/F28)*($B$6/$C$6))^-1</f>
        <v>113.83063768957578</v>
      </c>
      <c r="G40" s="54"/>
      <c r="H40" s="46" t="s">
        <v>90</v>
      </c>
      <c r="I40" s="55">
        <f>((1/I18-($C$6/(2*Konstanten!$F$5)*LN($C$6/$B$6))-1/I28)*($B$6/$C$6))^-1</f>
        <v>98.544588514389361</v>
      </c>
      <c r="J40" s="55"/>
      <c r="K40" s="46" t="s">
        <v>90</v>
      </c>
      <c r="L40" s="55">
        <f>((1/L18-($C$6/(2*Konstanten!$F$5)*LN($C$6/$B$6))-1/L28)*($B$6/$C$6))^-1</f>
        <v>79.270315257096655</v>
      </c>
      <c r="M40" s="55"/>
      <c r="N40" s="46" t="s">
        <v>90</v>
      </c>
      <c r="O40" s="55">
        <f>((1/O18-($C$6/(2*Konstanten!$F$5)*LN($C$6/$B$6))-1/O28)*($B$6/$C$6))^-1</f>
        <v>62.868530563507427</v>
      </c>
      <c r="P40" s="55"/>
      <c r="Q40" s="46" t="s">
        <v>90</v>
      </c>
      <c r="R40" s="55">
        <f>((1/R18-($C$6/(2*Konstanten!$F$5)*LN($C$6/$B$6))-1/R28)*($B$6/$C$6))^-1</f>
        <v>57.568168496358105</v>
      </c>
    </row>
    <row r="41" spans="5:18" x14ac:dyDescent="0.25">
      <c r="E41" s="35" t="s">
        <v>74</v>
      </c>
      <c r="F41" s="29">
        <f>F40*F34/wlf_L(F4)</f>
        <v>75.625434083264167</v>
      </c>
      <c r="G41" s="7"/>
      <c r="H41" s="35" t="s">
        <v>74</v>
      </c>
      <c r="I41" s="29">
        <f>I40*I34/wlf_L(I4)</f>
        <v>65.416326787837633</v>
      </c>
      <c r="K41" s="35" t="s">
        <v>74</v>
      </c>
      <c r="L41" s="29">
        <f>L40*L34/wlf_L(L4)</f>
        <v>52.630057734689679</v>
      </c>
      <c r="N41" s="35" t="s">
        <v>74</v>
      </c>
      <c r="O41" s="29">
        <f>O40*O34/wlf_L(O4)</f>
        <v>41.719693520578303</v>
      </c>
      <c r="Q41" s="35" t="s">
        <v>74</v>
      </c>
      <c r="R41" s="29">
        <f>R40*R34/wlf_L(R4)</f>
        <v>38.166538912141633</v>
      </c>
    </row>
    <row r="42" spans="5:18" x14ac:dyDescent="0.25">
      <c r="E42" s="6"/>
      <c r="F42" s="8"/>
      <c r="G42" s="7"/>
      <c r="H42" s="6"/>
      <c r="I42" s="8"/>
      <c r="K42" s="6"/>
      <c r="L42" s="8"/>
      <c r="N42" s="6"/>
      <c r="O42" s="8"/>
      <c r="Q42" s="6"/>
      <c r="R42" s="8"/>
    </row>
    <row r="43" spans="5:18" x14ac:dyDescent="0.25">
      <c r="E43" s="6" t="s">
        <v>77</v>
      </c>
      <c r="F43" s="8">
        <f>LN(F37^2*F39)</f>
        <v>20.616208698296699</v>
      </c>
      <c r="G43" s="7"/>
      <c r="H43" s="6" t="s">
        <v>77</v>
      </c>
      <c r="I43" s="8">
        <f>LN(I37^2*I39)</f>
        <v>20.146108290980091</v>
      </c>
      <c r="K43" s="6" t="s">
        <v>77</v>
      </c>
      <c r="L43" s="8">
        <f>LN(L37^2*L39)</f>
        <v>19.730363511376176</v>
      </c>
      <c r="N43" s="6" t="s">
        <v>77</v>
      </c>
      <c r="O43" s="8">
        <f>LN(O37^2*O39)</f>
        <v>19.170625755495443</v>
      </c>
      <c r="Q43" s="6" t="s">
        <v>77</v>
      </c>
      <c r="R43" s="8">
        <f>LN(R37^2*R39)</f>
        <v>18.767448379800381</v>
      </c>
    </row>
    <row r="44" spans="5:18" ht="15.75" thickBot="1" x14ac:dyDescent="0.3">
      <c r="E44" s="9" t="s">
        <v>78</v>
      </c>
      <c r="F44" s="11">
        <f>LN(F41)</f>
        <v>4.3257926562785212</v>
      </c>
      <c r="H44" s="9" t="s">
        <v>78</v>
      </c>
      <c r="I44" s="11">
        <f>LN(I41)</f>
        <v>4.1807718723809764</v>
      </c>
      <c r="K44" s="9" t="s">
        <v>78</v>
      </c>
      <c r="L44" s="11">
        <f>LN(L41)</f>
        <v>3.9632873963570994</v>
      </c>
      <c r="N44" s="9" t="s">
        <v>78</v>
      </c>
      <c r="O44" s="11">
        <f>LN(O41)</f>
        <v>3.7309732840024803</v>
      </c>
      <c r="Q44" s="9" t="s">
        <v>78</v>
      </c>
      <c r="R44" s="11">
        <f>LN(R41)</f>
        <v>3.6419591870404506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24207-1533-44F6-A12B-2CBD32B2909A}">
  <sheetPr codeName="Tabelle6"/>
  <dimension ref="A1:B41"/>
  <sheetViews>
    <sheetView workbookViewId="0">
      <selection activeCell="B6" sqref="B6"/>
    </sheetView>
  </sheetViews>
  <sheetFormatPr baseColWidth="10" defaultRowHeight="15" x14ac:dyDescent="0.25"/>
  <sheetData>
    <row r="1" spans="1:2" x14ac:dyDescent="0.25">
      <c r="A1" s="21" t="s">
        <v>85</v>
      </c>
      <c r="B1" s="21">
        <v>2.3E-2</v>
      </c>
    </row>
    <row r="2" spans="1:2" x14ac:dyDescent="0.25">
      <c r="A2" s="21" t="s">
        <v>86</v>
      </c>
      <c r="B2" s="45">
        <v>0.4</v>
      </c>
    </row>
    <row r="3" spans="1:2" x14ac:dyDescent="0.25">
      <c r="A3" s="21"/>
      <c r="B3" s="21"/>
    </row>
    <row r="4" spans="1:2" x14ac:dyDescent="0.25">
      <c r="A4" s="21" t="s">
        <v>91</v>
      </c>
      <c r="B4" s="21" t="s">
        <v>92</v>
      </c>
    </row>
    <row r="5" spans="1:2" x14ac:dyDescent="0.25">
      <c r="A5" s="8">
        <v>10</v>
      </c>
      <c r="B5" s="21">
        <f>LN($B$1*(EXP(A5))^$B$2)</f>
        <v>0.22773893694701264</v>
      </c>
    </row>
    <row r="6" spans="1:2" x14ac:dyDescent="0.25">
      <c r="A6" s="21">
        <f t="shared" ref="A6:A41" si="0">A5+0.5</f>
        <v>10.5</v>
      </c>
      <c r="B6" s="21">
        <f t="shared" ref="B6:B41" si="1">LN($B$1*(EXP(A6))^$B$2)</f>
        <v>0.42773893694701276</v>
      </c>
    </row>
    <row r="7" spans="1:2" x14ac:dyDescent="0.25">
      <c r="A7" s="21">
        <f t="shared" si="0"/>
        <v>11</v>
      </c>
      <c r="B7" s="21">
        <f t="shared" si="1"/>
        <v>0.62773893694701299</v>
      </c>
    </row>
    <row r="8" spans="1:2" x14ac:dyDescent="0.25">
      <c r="A8" s="21">
        <f t="shared" si="0"/>
        <v>11.5</v>
      </c>
      <c r="B8" s="21">
        <f t="shared" si="1"/>
        <v>0.82773893694701328</v>
      </c>
    </row>
    <row r="9" spans="1:2" x14ac:dyDescent="0.25">
      <c r="A9" s="21">
        <f t="shared" si="0"/>
        <v>12</v>
      </c>
      <c r="B9" s="21">
        <f t="shared" si="1"/>
        <v>1.0277389369470133</v>
      </c>
    </row>
    <row r="10" spans="1:2" x14ac:dyDescent="0.25">
      <c r="A10" s="21">
        <f t="shared" si="0"/>
        <v>12.5</v>
      </c>
      <c r="B10" s="21">
        <f t="shared" si="1"/>
        <v>1.2277389369470126</v>
      </c>
    </row>
    <row r="11" spans="1:2" x14ac:dyDescent="0.25">
      <c r="A11" s="21">
        <f t="shared" si="0"/>
        <v>13</v>
      </c>
      <c r="B11" s="21">
        <f t="shared" si="1"/>
        <v>1.4277389369470128</v>
      </c>
    </row>
    <row r="12" spans="1:2" x14ac:dyDescent="0.25">
      <c r="A12" s="21">
        <f t="shared" si="0"/>
        <v>13.5</v>
      </c>
      <c r="B12" s="21">
        <f t="shared" si="1"/>
        <v>1.627738936947013</v>
      </c>
    </row>
    <row r="13" spans="1:2" x14ac:dyDescent="0.25">
      <c r="A13" s="21">
        <f t="shared" si="0"/>
        <v>14</v>
      </c>
      <c r="B13" s="21">
        <f t="shared" si="1"/>
        <v>1.8277389369470132</v>
      </c>
    </row>
    <row r="14" spans="1:2" x14ac:dyDescent="0.25">
      <c r="A14" s="21">
        <f t="shared" si="0"/>
        <v>14.5</v>
      </c>
      <c r="B14" s="21">
        <f t="shared" si="1"/>
        <v>2.0277389369470136</v>
      </c>
    </row>
    <row r="15" spans="1:2" x14ac:dyDescent="0.25">
      <c r="A15" s="21">
        <f t="shared" si="0"/>
        <v>15</v>
      </c>
      <c r="B15" s="21">
        <f t="shared" si="1"/>
        <v>2.2277389369470124</v>
      </c>
    </row>
    <row r="16" spans="1:2" x14ac:dyDescent="0.25">
      <c r="A16" s="21">
        <f t="shared" si="0"/>
        <v>15.5</v>
      </c>
      <c r="B16" s="21">
        <f t="shared" si="1"/>
        <v>2.4277389369470126</v>
      </c>
    </row>
    <row r="17" spans="1:2" x14ac:dyDescent="0.25">
      <c r="A17" s="21">
        <f t="shared" si="0"/>
        <v>16</v>
      </c>
      <c r="B17" s="21">
        <f t="shared" si="1"/>
        <v>2.6277389369470128</v>
      </c>
    </row>
    <row r="18" spans="1:2" x14ac:dyDescent="0.25">
      <c r="A18" s="21">
        <f t="shared" si="0"/>
        <v>16.5</v>
      </c>
      <c r="B18" s="21">
        <f t="shared" si="1"/>
        <v>2.8277389369470129</v>
      </c>
    </row>
    <row r="19" spans="1:2" x14ac:dyDescent="0.25">
      <c r="A19" s="21">
        <f t="shared" si="0"/>
        <v>17</v>
      </c>
      <c r="B19" s="21">
        <f t="shared" si="1"/>
        <v>3.0277389369470136</v>
      </c>
    </row>
    <row r="20" spans="1:2" x14ac:dyDescent="0.25">
      <c r="A20" s="21">
        <f t="shared" si="0"/>
        <v>17.5</v>
      </c>
      <c r="B20" s="21">
        <f t="shared" si="1"/>
        <v>3.2277389369470124</v>
      </c>
    </row>
    <row r="21" spans="1:2" x14ac:dyDescent="0.25">
      <c r="A21" s="21">
        <f t="shared" si="0"/>
        <v>18</v>
      </c>
      <c r="B21" s="21">
        <f t="shared" si="1"/>
        <v>3.4277389369470126</v>
      </c>
    </row>
    <row r="22" spans="1:2" x14ac:dyDescent="0.25">
      <c r="A22" s="21">
        <f t="shared" si="0"/>
        <v>18.5</v>
      </c>
      <c r="B22" s="21">
        <f t="shared" si="1"/>
        <v>3.6277389369470128</v>
      </c>
    </row>
    <row r="23" spans="1:2" x14ac:dyDescent="0.25">
      <c r="A23" s="21">
        <f t="shared" si="0"/>
        <v>19</v>
      </c>
      <c r="B23" s="21">
        <f t="shared" si="1"/>
        <v>3.8277389369470134</v>
      </c>
    </row>
    <row r="24" spans="1:2" x14ac:dyDescent="0.25">
      <c r="A24" s="21">
        <f t="shared" si="0"/>
        <v>19.5</v>
      </c>
      <c r="B24" s="21">
        <f t="shared" si="1"/>
        <v>4.0277389369470136</v>
      </c>
    </row>
    <row r="25" spans="1:2" x14ac:dyDescent="0.25">
      <c r="A25" s="21">
        <f t="shared" si="0"/>
        <v>20</v>
      </c>
      <c r="B25" s="21">
        <f t="shared" si="1"/>
        <v>4.2277389369470129</v>
      </c>
    </row>
    <row r="26" spans="1:2" x14ac:dyDescent="0.25">
      <c r="A26" s="21">
        <f t="shared" si="0"/>
        <v>20.5</v>
      </c>
      <c r="B26" s="21">
        <f t="shared" si="1"/>
        <v>4.4277389369470139</v>
      </c>
    </row>
    <row r="27" spans="1:2" x14ac:dyDescent="0.25">
      <c r="A27" s="21">
        <f t="shared" si="0"/>
        <v>21</v>
      </c>
      <c r="B27" s="21">
        <f t="shared" si="1"/>
        <v>4.6277389369470132</v>
      </c>
    </row>
    <row r="28" spans="1:2" x14ac:dyDescent="0.25">
      <c r="A28" s="21">
        <f t="shared" si="0"/>
        <v>21.5</v>
      </c>
      <c r="B28" s="21">
        <f t="shared" si="1"/>
        <v>4.8277389369470125</v>
      </c>
    </row>
    <row r="29" spans="1:2" x14ac:dyDescent="0.25">
      <c r="A29" s="21">
        <f t="shared" si="0"/>
        <v>22</v>
      </c>
      <c r="B29" s="21">
        <f t="shared" si="1"/>
        <v>5.0277389369470136</v>
      </c>
    </row>
    <row r="30" spans="1:2" x14ac:dyDescent="0.25">
      <c r="A30" s="21">
        <f t="shared" si="0"/>
        <v>22.5</v>
      </c>
      <c r="B30" s="21">
        <f t="shared" si="1"/>
        <v>5.2277389369470129</v>
      </c>
    </row>
    <row r="31" spans="1:2" x14ac:dyDescent="0.25">
      <c r="A31" s="21">
        <f t="shared" si="0"/>
        <v>23</v>
      </c>
      <c r="B31" s="21">
        <f t="shared" si="1"/>
        <v>5.4277389369470139</v>
      </c>
    </row>
    <row r="32" spans="1:2" x14ac:dyDescent="0.25">
      <c r="A32" s="21">
        <f t="shared" si="0"/>
        <v>23.5</v>
      </c>
      <c r="B32" s="21">
        <f t="shared" si="1"/>
        <v>5.6277389369470132</v>
      </c>
    </row>
    <row r="33" spans="1:2" x14ac:dyDescent="0.25">
      <c r="A33" s="21">
        <f t="shared" si="0"/>
        <v>24</v>
      </c>
      <c r="B33" s="21">
        <f t="shared" si="1"/>
        <v>5.8277389369470143</v>
      </c>
    </row>
    <row r="34" spans="1:2" x14ac:dyDescent="0.25">
      <c r="A34" s="21">
        <f t="shared" si="0"/>
        <v>24.5</v>
      </c>
      <c r="B34" s="21">
        <f t="shared" si="1"/>
        <v>6.0277389369470136</v>
      </c>
    </row>
    <row r="35" spans="1:2" x14ac:dyDescent="0.25">
      <c r="A35" s="21">
        <f t="shared" si="0"/>
        <v>25</v>
      </c>
      <c r="B35" s="21">
        <f t="shared" si="1"/>
        <v>6.2277389369470129</v>
      </c>
    </row>
    <row r="36" spans="1:2" x14ac:dyDescent="0.25">
      <c r="A36" s="21">
        <f t="shared" si="0"/>
        <v>25.5</v>
      </c>
      <c r="B36" s="21">
        <f t="shared" si="1"/>
        <v>6.4277389369470139</v>
      </c>
    </row>
    <row r="37" spans="1:2" x14ac:dyDescent="0.25">
      <c r="A37" s="21">
        <f t="shared" si="0"/>
        <v>26</v>
      </c>
      <c r="B37" s="21">
        <f t="shared" si="1"/>
        <v>6.6277389369470132</v>
      </c>
    </row>
    <row r="38" spans="1:2" x14ac:dyDescent="0.25">
      <c r="A38" s="21">
        <f t="shared" si="0"/>
        <v>26.5</v>
      </c>
      <c r="B38" s="21">
        <f t="shared" si="1"/>
        <v>6.8277389369470143</v>
      </c>
    </row>
    <row r="39" spans="1:2" x14ac:dyDescent="0.25">
      <c r="A39" s="21">
        <f t="shared" si="0"/>
        <v>27</v>
      </c>
      <c r="B39" s="21">
        <f t="shared" si="1"/>
        <v>7.0277389369470136</v>
      </c>
    </row>
    <row r="40" spans="1:2" x14ac:dyDescent="0.25">
      <c r="A40" s="21">
        <f t="shared" si="0"/>
        <v>27.5</v>
      </c>
      <c r="B40" s="21">
        <f t="shared" si="1"/>
        <v>7.2277389369470129</v>
      </c>
    </row>
    <row r="41" spans="1:2" x14ac:dyDescent="0.25">
      <c r="A41" s="21">
        <f t="shared" si="0"/>
        <v>28</v>
      </c>
      <c r="B41" s="21">
        <f t="shared" si="1"/>
        <v>7.4277389369470139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Diagramme</vt:lpstr>
      </vt:variant>
      <vt:variant>
        <vt:i4>1</vt:i4>
      </vt:variant>
    </vt:vector>
  </HeadingPairs>
  <TitlesOfParts>
    <vt:vector size="7" baseType="lpstr">
      <vt:lpstr>Daten</vt:lpstr>
      <vt:lpstr>Konstanten</vt:lpstr>
      <vt:lpstr>WÜ1</vt:lpstr>
      <vt:lpstr>WÜ2</vt:lpstr>
      <vt:lpstr>WÜ3</vt:lpstr>
      <vt:lpstr>Ideal</vt:lpstr>
      <vt:lpstr>Diagramm (Luft)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 Zank</dc:creator>
  <cp:lastModifiedBy>Roman Zank</cp:lastModifiedBy>
  <dcterms:created xsi:type="dcterms:W3CDTF">2020-06-02T13:43:27Z</dcterms:created>
  <dcterms:modified xsi:type="dcterms:W3CDTF">2020-06-19T15:03:37Z</dcterms:modified>
</cp:coreProperties>
</file>